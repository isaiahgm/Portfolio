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4.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ThisWorkbook" defaultThemeVersion="164011"/>
  <mc:AlternateContent xmlns:mc="http://schemas.openxmlformats.org/markup-compatibility/2006">
    <mc:Choice Requires="x15">
      <x15ac:absPath xmlns:x15ac="http://schemas.microsoft.com/office/spreadsheetml/2010/11/ac" url="C:\Users\telefundsup\Documents\Data Assistant Files\Telefund Schedule\"/>
    </mc:Choice>
  </mc:AlternateContent>
  <bookViews>
    <workbookView xWindow="0" yWindow="0" windowWidth="25200" windowHeight="11850" activeTab="2"/>
  </bookViews>
  <sheets>
    <sheet name="Current Schedule" sheetId="4" r:id="rId1"/>
    <sheet name="Master Schedule" sheetId="2" r:id="rId2"/>
    <sheet name="Controls" sheetId="6" r:id="rId3"/>
  </sheets>
  <definedNames>
    <definedName name="_xlcn.WorksheetConnection_TelefundScheduling.xlsxMSchedule1" hidden="1">MSchedule[]</definedName>
    <definedName name="MSchedule_1" localSheetId="0" hidden="1">'Current Schedule'!$B$5:$Z$85</definedName>
    <definedName name="MSchedule_2" localSheetId="0" hidden="1">'Current Schedule'!$B$87:$Z$167</definedName>
    <definedName name="MSchedule_3" localSheetId="0" hidden="1">'Current Schedule'!$B$169:$Z$246</definedName>
    <definedName name="Slicer_Leader">#N/A</definedName>
    <definedName name="Slicer_Position">#N/A</definedName>
  </definedNames>
  <calcPr calcId="162913"/>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Schedule" name="MSchedule" connection="WorksheetConnection_Telefund Scheduling.xlsx!MSchedule"/>
        </x15:modelTables>
      </x15:dataModel>
    </ext>
  </extLst>
</workbook>
</file>

<file path=xl/calcChain.xml><?xml version="1.0" encoding="utf-8"?>
<calcChain xmlns="http://schemas.openxmlformats.org/spreadsheetml/2006/main">
  <c r="E247" i="4" l="1"/>
  <c r="F247" i="4"/>
  <c r="G247" i="4"/>
  <c r="H247" i="4"/>
  <c r="I247" i="4"/>
  <c r="J247" i="4"/>
  <c r="K247" i="4"/>
  <c r="L247" i="4"/>
  <c r="M247" i="4"/>
  <c r="N247" i="4"/>
  <c r="O247" i="4"/>
  <c r="P247" i="4"/>
  <c r="Q247" i="4"/>
  <c r="R247" i="4"/>
  <c r="S247" i="4"/>
  <c r="T247" i="4"/>
  <c r="U247" i="4"/>
  <c r="V247" i="4"/>
  <c r="W247" i="4"/>
  <c r="E168" i="4"/>
  <c r="F168" i="4"/>
  <c r="G168" i="4"/>
  <c r="H168" i="4"/>
  <c r="I168" i="4"/>
  <c r="J168" i="4"/>
  <c r="K168" i="4"/>
  <c r="L168" i="4"/>
  <c r="M168" i="4"/>
  <c r="N168" i="4"/>
  <c r="O168" i="4"/>
  <c r="P168" i="4"/>
  <c r="Q168" i="4"/>
  <c r="R168" i="4"/>
  <c r="S168" i="4"/>
  <c r="T168" i="4"/>
  <c r="U168" i="4"/>
  <c r="V168" i="4"/>
  <c r="W168" i="4"/>
  <c r="E86" i="4"/>
  <c r="F86" i="4"/>
  <c r="G86" i="4"/>
  <c r="H86" i="4"/>
  <c r="I86" i="4"/>
  <c r="J86" i="4"/>
  <c r="K86" i="4"/>
  <c r="L86" i="4"/>
  <c r="M86" i="4"/>
  <c r="N86" i="4"/>
  <c r="O86" i="4"/>
  <c r="P86" i="4"/>
  <c r="Q86" i="4"/>
  <c r="R86" i="4"/>
  <c r="S86" i="4"/>
  <c r="T86" i="4"/>
  <c r="U86" i="4"/>
  <c r="V86" i="4"/>
  <c r="W86" i="4"/>
  <c r="AC13" i="2" l="1"/>
  <c r="AC14" i="2"/>
  <c r="AC15" i="2"/>
  <c r="AC16" i="2"/>
  <c r="AC12" i="2"/>
  <c r="B4" i="2" l="1"/>
  <c r="Y3" i="2"/>
  <c r="W4" i="2"/>
  <c r="V4" i="2"/>
  <c r="U4" i="2"/>
  <c r="T4" i="2"/>
  <c r="S4" i="2"/>
  <c r="R4" i="2"/>
  <c r="Q4" i="2"/>
  <c r="P4" i="2"/>
  <c r="O4" i="2"/>
  <c r="F4" i="2"/>
  <c r="G4" i="2"/>
  <c r="H4" i="2"/>
  <c r="I4" i="2"/>
  <c r="J4" i="2"/>
  <c r="K4" i="2"/>
  <c r="L4" i="2"/>
  <c r="N4" i="2"/>
  <c r="M4" i="2"/>
  <c r="E4" i="2"/>
  <c r="X6" i="2" l="1"/>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3"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B83" i="2" l="1"/>
  <c r="X83" i="2" l="1"/>
  <c r="Y83" i="2"/>
</calcChain>
</file>

<file path=xl/connections.xml><?xml version="1.0" encoding="utf-8"?>
<connections xmlns="http://schemas.openxmlformats.org/spreadsheetml/2006/main">
  <connection id="1" keepAlive="1" name="ModelConnection_MSchedule_1" description="Data Model" type="5" refreshedVersion="6" minRefreshableVersion="5" saveData="1">
    <dbPr connection="Data Model Connection" command="MSchedule" commandType="3"/>
    <extLst>
      <ext xmlns:x15="http://schemas.microsoft.com/office/spreadsheetml/2010/11/main" uri="{DE250136-89BD-433C-8126-D09CA5730AF9}">
        <x15:connection id="" model="1"/>
      </ext>
    </extLst>
  </connection>
  <connection id="2" keepAlive="1" name="ModelConnection_MSchedule_2" description="Data Model" type="5" refreshedVersion="6" minRefreshableVersion="5" saveData="1">
    <dbPr connection="Data Model Connection" command="MSchedule" commandType="3"/>
    <extLst>
      <ext xmlns:x15="http://schemas.microsoft.com/office/spreadsheetml/2010/11/main" uri="{DE250136-89BD-433C-8126-D09CA5730AF9}">
        <x15:connection id="" model="1"/>
      </ext>
    </extLst>
  </connection>
  <connection id="3" keepAlive="1" name="ModelConnection_MSchedule_3" description="Data Model" type="5" refreshedVersion="6" minRefreshableVersion="5" saveData="1">
    <dbPr connection="Data Model Connection" command="MSchedule" commandType="3"/>
    <extLst>
      <ext xmlns:x15="http://schemas.microsoft.com/office/spreadsheetml/2010/11/main" uri="{DE250136-89BD-433C-8126-D09CA5730AF9}">
        <x15:connection id="" model="1"/>
      </ext>
    </extLst>
  </connection>
  <connection id="4"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name="WorksheetConnection_Telefund Scheduling.xlsx!MSchedule" type="102" refreshedVersion="6" minRefreshableVersion="5" saveData="1">
    <extLst>
      <ext xmlns:x15="http://schemas.microsoft.com/office/spreadsheetml/2010/11/main" uri="{DE250136-89BD-433C-8126-D09CA5730AF9}">
        <x15:connection id="MSchedule" excludeFromRefreshAll="1" autoDelete="1">
          <x15:rangePr sourceName="_xlcn.WorksheetConnection_TelefundScheduling.xlsxMSchedule1"/>
        </x15:connection>
      </ext>
    </extLst>
  </connection>
</connections>
</file>

<file path=xl/sharedStrings.xml><?xml version="1.0" encoding="utf-8"?>
<sst xmlns="http://schemas.openxmlformats.org/spreadsheetml/2006/main" count="1507" uniqueCount="172">
  <si>
    <t>S1</t>
  </si>
  <si>
    <t>S2</t>
  </si>
  <si>
    <t>T1</t>
  </si>
  <si>
    <t>T2</t>
  </si>
  <si>
    <t>W1</t>
  </si>
  <si>
    <t>W2</t>
  </si>
  <si>
    <t>F1</t>
  </si>
  <si>
    <t>F2</t>
  </si>
  <si>
    <t>9:00-11:00</t>
  </si>
  <si>
    <t>11:00-1:00</t>
  </si>
  <si>
    <t>1:00-3:00</t>
  </si>
  <si>
    <t>3:00-4:00</t>
  </si>
  <si>
    <t>2:30-4:30</t>
  </si>
  <si>
    <t>4:30-6:30</t>
  </si>
  <si>
    <t>6:30-8:30</t>
  </si>
  <si>
    <t>8:30-9:30</t>
  </si>
  <si>
    <t>Aaron Zitting</t>
  </si>
  <si>
    <t>x</t>
  </si>
  <si>
    <t>Abigail Deru</t>
  </si>
  <si>
    <t>Ada Hawkes</t>
  </si>
  <si>
    <t>Alli Lanigan</t>
  </si>
  <si>
    <t>Allison Stephens</t>
  </si>
  <si>
    <t>Alyssa Dvorak</t>
  </si>
  <si>
    <t>Angela Larsen</t>
  </si>
  <si>
    <t>Blake Berkabile</t>
  </si>
  <si>
    <t>Bridger Tower</t>
  </si>
  <si>
    <t>Brooke Reil</t>
  </si>
  <si>
    <t>Clayton Jenson</t>
  </si>
  <si>
    <t>Colleen Bird</t>
  </si>
  <si>
    <t>Danielle Townsend</t>
  </si>
  <si>
    <t>Danny McKell</t>
  </si>
  <si>
    <t>Devin Dayton</t>
  </si>
  <si>
    <t>Emery Thomas</t>
  </si>
  <si>
    <t>Grace Petersen</t>
  </si>
  <si>
    <t>Jacob Wolff</t>
  </si>
  <si>
    <t>Jake Adams</t>
  </si>
  <si>
    <t>Jenna Kim</t>
  </si>
  <si>
    <t>Jonathan Charpentier</t>
  </si>
  <si>
    <t>Kaitlin Steele</t>
  </si>
  <si>
    <t>KaTrina Weyerman</t>
  </si>
  <si>
    <t>Kenzey Aukema</t>
  </si>
  <si>
    <t>Kenzie McEwan</t>
  </si>
  <si>
    <t>Khaya Elliott</t>
  </si>
  <si>
    <t>Lauren Willis</t>
  </si>
  <si>
    <t>Maud Famina</t>
  </si>
  <si>
    <t>Megan McDonnell</t>
  </si>
  <si>
    <t>Melannie Palomino</t>
  </si>
  <si>
    <t>Nicholas Cardoso</t>
  </si>
  <si>
    <t>Nikaela Smith</t>
  </si>
  <si>
    <t>Niko Jones</t>
  </si>
  <si>
    <t>Olivia Brock</t>
  </si>
  <si>
    <t>Paige Gunderson</t>
  </si>
  <si>
    <t>Peri Adamson</t>
  </si>
  <si>
    <t>Shannon McBride</t>
  </si>
  <si>
    <t>Taylor Brooks</t>
  </si>
  <si>
    <t>Teeya Lei</t>
  </si>
  <si>
    <t>Zach Taylor</t>
  </si>
  <si>
    <t>Amy Riding</t>
  </si>
  <si>
    <t>Anna Gardiner</t>
  </si>
  <si>
    <t>Bethany Twede</t>
  </si>
  <si>
    <t>Brandon Olsen</t>
  </si>
  <si>
    <t>Brielle Twede</t>
  </si>
  <si>
    <t>Carlee Hanson</t>
  </si>
  <si>
    <t>Devin Loveland</t>
  </si>
  <si>
    <t>Emily Clegg</t>
  </si>
  <si>
    <t>Emma Franklin</t>
  </si>
  <si>
    <t>Emma Huntzinger</t>
  </si>
  <si>
    <t>Haley Andrews</t>
  </si>
  <si>
    <t>Josh Dvorak</t>
  </si>
  <si>
    <t>Kangwon Suh</t>
  </si>
  <si>
    <t>Lexi Loveless</t>
  </si>
  <si>
    <t>Mariah Brooks</t>
  </si>
  <si>
    <t>Michelle Adams</t>
  </si>
  <si>
    <t>Olivia Grover</t>
  </si>
  <si>
    <t>Scott Sais</t>
  </si>
  <si>
    <t>Soraya Farah</t>
  </si>
  <si>
    <t>Taetyn Hansen</t>
  </si>
  <si>
    <t>Dallin Dvorak</t>
  </si>
  <si>
    <t>Danny Moreno</t>
  </si>
  <si>
    <t>Emma Hawkes</t>
  </si>
  <si>
    <t>Jake Parker</t>
  </si>
  <si>
    <t>Alex Jimenez</t>
  </si>
  <si>
    <t>Amber Davis</t>
  </si>
  <si>
    <t>Ashlee Olsen</t>
  </si>
  <si>
    <t>Ashley Tanner</t>
  </si>
  <si>
    <t>Ben Zitting</t>
  </si>
  <si>
    <t>Chanel Woods</t>
  </si>
  <si>
    <t>Jayne Preciado</t>
  </si>
  <si>
    <t>Jessica Huff</t>
  </si>
  <si>
    <t>John Lindsay</t>
  </si>
  <si>
    <t>Kailee Kunz</t>
  </si>
  <si>
    <t>Lizzie Card</t>
  </si>
  <si>
    <t>Michael Keightley</t>
  </si>
  <si>
    <t>Rebecca Davis</t>
  </si>
  <si>
    <t>Sarah Pearce</t>
  </si>
  <si>
    <t>Student Employee</t>
  </si>
  <si>
    <t>Position</t>
  </si>
  <si>
    <t>Leader</t>
  </si>
  <si>
    <t>SE</t>
  </si>
  <si>
    <t>SP</t>
  </si>
  <si>
    <t>TE</t>
  </si>
  <si>
    <t>WE</t>
  </si>
  <si>
    <t>TP</t>
  </si>
  <si>
    <t>WP</t>
  </si>
  <si>
    <t>ThE</t>
  </si>
  <si>
    <t>Th1</t>
  </si>
  <si>
    <t>Th2</t>
  </si>
  <si>
    <t>ThP</t>
  </si>
  <si>
    <t>FE</t>
  </si>
  <si>
    <t>Saturday</t>
  </si>
  <si>
    <t>Tuesday</t>
  </si>
  <si>
    <t>Wednesday</t>
  </si>
  <si>
    <t>Thursday</t>
  </si>
  <si>
    <t>Friday</t>
  </si>
  <si>
    <t>Feb 2, 2019 - Feb 8, 2019</t>
  </si>
  <si>
    <t>Telefund Schedule</t>
  </si>
  <si>
    <t>Caller</t>
  </si>
  <si>
    <t>Trainee</t>
  </si>
  <si>
    <t>Lead Trainer</t>
  </si>
  <si>
    <t>District Lead</t>
  </si>
  <si>
    <t>Zone Leader</t>
  </si>
  <si>
    <t>Chris Nelson</t>
  </si>
  <si>
    <t>Chanel Wood</t>
  </si>
  <si>
    <t>Max</t>
  </si>
  <si>
    <t>Min</t>
  </si>
  <si>
    <t>Notes</t>
  </si>
  <si>
    <t>Employee Notes</t>
  </si>
  <si>
    <t>Signed</t>
  </si>
  <si>
    <t>Required</t>
  </si>
  <si>
    <t>Blaine Grover</t>
  </si>
  <si>
    <t>Total</t>
  </si>
  <si>
    <t>MTM</t>
  </si>
  <si>
    <t>First (11:00 - 1:00)</t>
  </si>
  <si>
    <t>Second (1:00 - 3:00)</t>
  </si>
  <si>
    <t>Power (3:00 - 4:00)</t>
  </si>
  <si>
    <t>Early (9:00 - 11:00)</t>
  </si>
  <si>
    <t>Early (2:30 - 4:30)</t>
  </si>
  <si>
    <t>First (4:30 - 6:30)</t>
  </si>
  <si>
    <t>Second (6:30 - 8:30)</t>
  </si>
  <si>
    <t>Power (8:30 - 9:30)</t>
  </si>
  <si>
    <t>General Shift Controls</t>
  </si>
  <si>
    <t>Day/Shift</t>
  </si>
  <si>
    <t>Open</t>
  </si>
  <si>
    <t>Other</t>
  </si>
  <si>
    <t>MTM Shift</t>
  </si>
  <si>
    <t>Required Hours</t>
  </si>
  <si>
    <t>District Leader</t>
  </si>
  <si>
    <t>Options</t>
  </si>
  <si>
    <t>Capacity</t>
  </si>
  <si>
    <t>Closed Shift</t>
  </si>
  <si>
    <t>Week of:</t>
  </si>
  <si>
    <t>Point Schedule</t>
  </si>
  <si>
    <t>Next Week's Schedule</t>
  </si>
  <si>
    <t>Close Schedule Registration</t>
  </si>
  <si>
    <t>CLOSED</t>
  </si>
  <si>
    <t>10, 12, 14</t>
  </si>
  <si>
    <t>The Schedule Process:</t>
  </si>
  <si>
    <t>1. Archive the Current Schedule. This will store the schedule in the workbook of your choosing. Preferably Schedule Archive.</t>
  </si>
  <si>
    <t>2. Set New Schedule. This will copy the Master Schedule to the Current Schedule</t>
  </si>
  <si>
    <t>3. Make any needed changes to the options for the coming week. Change the date and Point Schedule</t>
  </si>
  <si>
    <t>4. Clear Master Schedule. This will clear all the data from the Master Schedule giving a clean slate for new schedules</t>
  </si>
  <si>
    <t>Point Schedule:</t>
  </si>
  <si>
    <t>Wed.</t>
  </si>
  <si>
    <t>Tue.</t>
  </si>
  <si>
    <t>Mon.</t>
  </si>
  <si>
    <t>Thu.</t>
  </si>
  <si>
    <t>Fri.</t>
  </si>
  <si>
    <t>Becca Davis</t>
  </si>
  <si>
    <t>0</t>
  </si>
  <si>
    <t>10</t>
  </si>
  <si>
    <t>14</t>
  </si>
  <si>
    <t>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</si>
</sst>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1"/>
      <color theme="1"/>
      <name val="Calibri"/>
      <family val="2"/>
      <scheme val="minor"/>
    </font>
    <font>
      <sz val="10"/>
      <color theme="1"/>
      <name val="Microsoft YaHei"/>
      <family val="2"/>
    </font>
    <font>
      <sz val="9"/>
      <color theme="1"/>
      <name val="Microsoft YaHei"/>
      <family val="2"/>
    </font>
    <font>
      <sz val="9"/>
      <color theme="0"/>
      <name val="Microsoft YaHei"/>
      <family val="2"/>
    </font>
    <font>
      <sz val="10"/>
      <color theme="0"/>
      <name val="Microsoft YaHei"/>
      <family val="2"/>
    </font>
    <font>
      <sz val="8"/>
      <color theme="0"/>
      <name val="Microsoft YaHei"/>
      <family val="2"/>
    </font>
    <font>
      <b/>
      <sz val="14"/>
      <color theme="0"/>
      <name val="Microsoft YaHei"/>
      <family val="2"/>
    </font>
    <font>
      <sz val="9"/>
      <color theme="4"/>
      <name val="Microsoft YaHei"/>
      <family val="2"/>
    </font>
    <font>
      <b/>
      <sz val="11"/>
      <color theme="0"/>
      <name val="Microsoft YaHei"/>
      <family val="2"/>
    </font>
    <font>
      <b/>
      <sz val="9"/>
      <color theme="0"/>
      <name val="Microsoft YaHei"/>
      <family val="2"/>
    </font>
    <font>
      <b/>
      <sz val="16"/>
      <color theme="0"/>
      <name val="Microsoft YaHei"/>
      <family val="2"/>
    </font>
    <font>
      <sz val="11"/>
      <color theme="0"/>
      <name val="Microsoft YaHei"/>
      <family val="2"/>
    </font>
    <font>
      <sz val="12"/>
      <color theme="1"/>
      <name val="Microsoft YaHei"/>
      <family val="2"/>
    </font>
    <font>
      <sz val="8"/>
      <color rgb="FF000000"/>
      <name val="Segoe UI"/>
      <family val="2"/>
    </font>
    <font>
      <sz val="10"/>
      <color theme="1"/>
      <name val="Microsoft YaHei"/>
      <family val="2"/>
    </font>
    <font>
      <sz val="11"/>
      <color theme="1"/>
      <name val="Museo For Dell"/>
    </font>
    <font>
      <sz val="9"/>
      <color theme="1"/>
      <name val="Museo For Dell"/>
    </font>
    <font>
      <sz val="9"/>
      <color theme="0" tint="-0.249977111117893"/>
      <name val="Museo For Dell"/>
    </font>
    <font>
      <sz val="16"/>
      <color theme="1"/>
      <name val="Museo For Dell"/>
    </font>
    <font>
      <sz val="9"/>
      <color theme="2" tint="-0.249977111117893"/>
      <name val="Museo For Dell"/>
    </font>
    <font>
      <b/>
      <sz val="10"/>
      <color theme="0"/>
      <name val="Microsoft YaHei"/>
      <family val="2"/>
    </font>
    <font>
      <b/>
      <sz val="12"/>
      <color theme="0"/>
      <name val="Microsoft YaHei"/>
      <family val="2"/>
    </font>
    <font>
      <sz val="11"/>
      <color theme="1"/>
      <name val="Microsoft YaHei"/>
      <family val="2"/>
    </font>
    <font>
      <sz val="11"/>
      <color indexed="8"/>
      <name val="Calibri"/>
      <family val="2"/>
      <scheme val="minor"/>
    </font>
  </fonts>
  <fills count="7">
    <fill>
      <patternFill patternType="none"/>
    </fill>
    <fill>
      <patternFill patternType="gray125"/>
    </fill>
    <fill>
      <patternFill patternType="solid">
        <fgColor theme="4"/>
        <bgColor indexed="64"/>
      </patternFill>
    </fill>
    <fill>
      <patternFill patternType="solid">
        <fgColor theme="0" tint="-0.499984740745262"/>
        <bgColor indexed="64"/>
      </patternFill>
    </fill>
    <fill>
      <patternFill patternType="solid">
        <fgColor theme="2" tint="-0.249977111117893"/>
        <bgColor indexed="64"/>
      </patternFill>
    </fill>
    <fill>
      <patternFill patternType="solid">
        <fgColor theme="3" tint="-0.499984740745262"/>
        <bgColor indexed="64"/>
      </patternFill>
    </fill>
    <fill>
      <patternFill patternType="solid">
        <fgColor theme="2" tint="-0.499984740745262"/>
        <bgColor indexed="64"/>
      </patternFill>
    </fill>
  </fills>
  <borders count="28">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thin">
        <color theme="0" tint="-0.499984740745262"/>
      </left>
      <right/>
      <top/>
      <bottom/>
      <diagonal/>
    </border>
    <border>
      <left/>
      <right style="thin">
        <color theme="0" tint="-0.499984740745262"/>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bottom/>
      <diagonal/>
    </border>
  </borders>
  <cellStyleXfs count="2">
    <xf numFmtId="0" fontId="0" fillId="0" borderId="0"/>
    <xf numFmtId="0" fontId="23" fillId="0" borderId="0"/>
  </cellStyleXfs>
  <cellXfs count="161">
    <xf numFmtId="0" fontId="0" fillId="0" borderId="0" xfId="0"/>
    <xf numFmtId="0" fontId="1" fillId="0" borderId="0" xfId="0" applyFont="1"/>
    <xf numFmtId="0" fontId="2" fillId="0" borderId="0" xfId="0" applyFont="1" applyAlignment="1">
      <alignment horizontal="center"/>
    </xf>
    <xf numFmtId="0" fontId="2" fillId="0" borderId="0" xfId="0" applyFont="1"/>
    <xf numFmtId="0" fontId="2" fillId="0" borderId="0" xfId="0" applyFont="1" applyBorder="1" applyAlignment="1">
      <alignment horizontal="center"/>
    </xf>
    <xf numFmtId="0" fontId="1" fillId="2" borderId="3" xfId="0" applyFont="1" applyFill="1" applyBorder="1"/>
    <xf numFmtId="0" fontId="1" fillId="2" borderId="4" xfId="0" applyFont="1" applyFill="1" applyBorder="1"/>
    <xf numFmtId="0" fontId="4" fillId="2" borderId="6" xfId="0" applyFont="1" applyFill="1" applyBorder="1"/>
    <xf numFmtId="0" fontId="4" fillId="2" borderId="7" xfId="0" applyFont="1" applyFill="1" applyBorder="1"/>
    <xf numFmtId="0" fontId="5" fillId="2" borderId="1" xfId="0" applyFont="1" applyFill="1" applyBorder="1" applyAlignment="1">
      <alignment horizontal="center"/>
    </xf>
    <xf numFmtId="0" fontId="8" fillId="2" borderId="4" xfId="0" applyFont="1" applyFill="1" applyBorder="1" applyAlignment="1">
      <alignment horizontal="center"/>
    </xf>
    <xf numFmtId="0" fontId="2" fillId="0" borderId="15" xfId="0" applyFont="1" applyBorder="1" applyAlignment="1">
      <alignment horizontal="center"/>
    </xf>
    <xf numFmtId="0" fontId="8" fillId="2" borderId="2" xfId="0" applyFont="1" applyFill="1" applyBorder="1" applyAlignment="1">
      <alignment horizontal="center"/>
    </xf>
    <xf numFmtId="0" fontId="8" fillId="2" borderId="3" xfId="0" applyFont="1" applyFill="1" applyBorder="1" applyAlignment="1">
      <alignment horizontal="center"/>
    </xf>
    <xf numFmtId="0" fontId="4" fillId="2" borderId="7" xfId="0" applyFont="1" applyFill="1" applyBorder="1" applyAlignment="1">
      <alignment horizontal="center"/>
    </xf>
    <xf numFmtId="0" fontId="2" fillId="0" borderId="12" xfId="0" applyFont="1" applyBorder="1"/>
    <xf numFmtId="0" fontId="2" fillId="0" borderId="14" xfId="0" applyFont="1" applyBorder="1"/>
    <xf numFmtId="0" fontId="2" fillId="0" borderId="13" xfId="0" applyFont="1" applyBorder="1"/>
    <xf numFmtId="0" fontId="1" fillId="0" borderId="0" xfId="0" applyFont="1" applyAlignment="1">
      <alignment horizontal="left"/>
    </xf>
    <xf numFmtId="1" fontId="1" fillId="0" borderId="2" xfId="0" applyNumberFormat="1" applyFont="1" applyBorder="1" applyAlignment="1">
      <alignment horizontal="left"/>
    </xf>
    <xf numFmtId="1" fontId="1" fillId="0" borderId="4" xfId="0" applyNumberFormat="1" applyFont="1" applyBorder="1" applyAlignment="1">
      <alignment horizontal="left"/>
    </xf>
    <xf numFmtId="1" fontId="1" fillId="0" borderId="9" xfId="0" applyNumberFormat="1" applyFont="1" applyBorder="1" applyAlignment="1">
      <alignment horizontal="left"/>
    </xf>
    <xf numFmtId="1" fontId="1" fillId="0" borderId="10" xfId="0" applyNumberFormat="1" applyFont="1" applyBorder="1" applyAlignment="1">
      <alignment horizontal="left"/>
    </xf>
    <xf numFmtId="0" fontId="5" fillId="2" borderId="13" xfId="0" applyFont="1" applyFill="1" applyBorder="1" applyAlignment="1">
      <alignment horizontal="center"/>
    </xf>
    <xf numFmtId="0" fontId="5" fillId="2" borderId="12" xfId="0" applyFont="1" applyFill="1" applyBorder="1" applyAlignment="1">
      <alignment horizontal="center"/>
    </xf>
    <xf numFmtId="0" fontId="3" fillId="0" borderId="5" xfId="0" applyFont="1" applyBorder="1" applyAlignment="1">
      <alignment horizontal="center"/>
    </xf>
    <xf numFmtId="0" fontId="9" fillId="3" borderId="10" xfId="0" applyFont="1" applyFill="1" applyBorder="1" applyAlignment="1">
      <alignment horizontal="center"/>
    </xf>
    <xf numFmtId="0" fontId="2" fillId="0" borderId="16" xfId="0" applyFont="1" applyBorder="1"/>
    <xf numFmtId="0" fontId="2" fillId="0" borderId="17" xfId="0" applyFont="1" applyBorder="1"/>
    <xf numFmtId="0" fontId="3" fillId="0" borderId="6" xfId="0" applyFont="1" applyBorder="1" applyAlignment="1">
      <alignment horizontal="center"/>
    </xf>
    <xf numFmtId="0" fontId="7" fillId="2" borderId="5" xfId="0" applyFont="1" applyFill="1" applyBorder="1" applyAlignment="1">
      <alignment horizontal="left"/>
    </xf>
    <xf numFmtId="0" fontId="14" fillId="2" borderId="0" xfId="0" applyFont="1" applyFill="1"/>
    <xf numFmtId="1" fontId="14" fillId="2" borderId="0" xfId="0" applyNumberFormat="1" applyFont="1" applyFill="1"/>
    <xf numFmtId="0" fontId="14" fillId="2" borderId="0" xfId="0" applyFont="1" applyFill="1" applyAlignment="1">
      <alignment horizontal="left"/>
    </xf>
    <xf numFmtId="0" fontId="0" fillId="4" borderId="3" xfId="0" applyFill="1" applyBorder="1"/>
    <xf numFmtId="0" fontId="0" fillId="4" borderId="4" xfId="0" applyFill="1" applyBorder="1"/>
    <xf numFmtId="0" fontId="0" fillId="4" borderId="10" xfId="0" applyFill="1" applyBorder="1"/>
    <xf numFmtId="0" fontId="0" fillId="4" borderId="9" xfId="0" applyFill="1" applyBorder="1"/>
    <xf numFmtId="0" fontId="0" fillId="4" borderId="7" xfId="0" applyFill="1" applyBorder="1"/>
    <xf numFmtId="0" fontId="0" fillId="4" borderId="2" xfId="0" applyFill="1" applyBorder="1"/>
    <xf numFmtId="0" fontId="0" fillId="4" borderId="5" xfId="0" applyFill="1" applyBorder="1"/>
    <xf numFmtId="0" fontId="0" fillId="4" borderId="6" xfId="0" applyFill="1" applyBorder="1"/>
    <xf numFmtId="0" fontId="16" fillId="4" borderId="0" xfId="0" applyFont="1" applyFill="1" applyBorder="1"/>
    <xf numFmtId="0" fontId="16" fillId="4" borderId="2" xfId="0" applyFont="1" applyFill="1" applyBorder="1"/>
    <xf numFmtId="0" fontId="16" fillId="4" borderId="3" xfId="0" applyFont="1" applyFill="1" applyBorder="1"/>
    <xf numFmtId="0" fontId="16" fillId="4" borderId="4" xfId="0" applyFont="1" applyFill="1" applyBorder="1"/>
    <xf numFmtId="0" fontId="16" fillId="4" borderId="9" xfId="0" applyFont="1" applyFill="1" applyBorder="1"/>
    <xf numFmtId="0" fontId="16" fillId="4" borderId="10" xfId="0" applyFont="1" applyFill="1" applyBorder="1"/>
    <xf numFmtId="0" fontId="16" fillId="4" borderId="12" xfId="0" applyFont="1" applyFill="1" applyBorder="1" applyAlignment="1">
      <alignment horizontal="center"/>
    </xf>
    <xf numFmtId="0" fontId="16" fillId="4" borderId="14" xfId="0" applyFont="1" applyFill="1" applyBorder="1" applyAlignment="1">
      <alignment horizontal="center"/>
    </xf>
    <xf numFmtId="0" fontId="16" fillId="4" borderId="13" xfId="0" applyFont="1" applyFill="1" applyBorder="1" applyAlignment="1">
      <alignment horizontal="center"/>
    </xf>
    <xf numFmtId="0" fontId="16" fillId="4" borderId="8" xfId="0" applyFont="1" applyFill="1" applyBorder="1"/>
    <xf numFmtId="0" fontId="16" fillId="4" borderId="18" xfId="0" applyFont="1" applyFill="1" applyBorder="1"/>
    <xf numFmtId="0" fontId="17" fillId="4" borderId="19" xfId="0" applyFont="1" applyFill="1" applyBorder="1"/>
    <xf numFmtId="0" fontId="17" fillId="4" borderId="20" xfId="0" applyFont="1" applyFill="1" applyBorder="1"/>
    <xf numFmtId="0" fontId="16" fillId="4" borderId="15" xfId="0" applyFont="1" applyFill="1" applyBorder="1"/>
    <xf numFmtId="0" fontId="17" fillId="4" borderId="10" xfId="0" applyFont="1" applyFill="1" applyBorder="1"/>
    <xf numFmtId="0" fontId="16" fillId="4" borderId="15" xfId="0" applyFont="1" applyFill="1" applyBorder="1" applyAlignment="1">
      <alignment horizontal="left"/>
    </xf>
    <xf numFmtId="0" fontId="16" fillId="4" borderId="11" xfId="0" applyFont="1" applyFill="1" applyBorder="1"/>
    <xf numFmtId="0" fontId="16" fillId="4" borderId="7" xfId="0" applyFont="1" applyFill="1" applyBorder="1"/>
    <xf numFmtId="0" fontId="16" fillId="4" borderId="1" xfId="0" applyFont="1" applyFill="1" applyBorder="1"/>
    <xf numFmtId="0" fontId="16" fillId="4" borderId="13" xfId="0" applyFont="1" applyFill="1" applyBorder="1"/>
    <xf numFmtId="0" fontId="16" fillId="4" borderId="5" xfId="0" applyFont="1" applyFill="1" applyBorder="1"/>
    <xf numFmtId="0" fontId="16" fillId="4" borderId="6" xfId="0" applyFont="1" applyFill="1" applyBorder="1"/>
    <xf numFmtId="0" fontId="16" fillId="4" borderId="24" xfId="0" applyFont="1" applyFill="1" applyBorder="1"/>
    <xf numFmtId="0" fontId="17" fillId="4" borderId="26" xfId="0" applyFont="1" applyFill="1" applyBorder="1"/>
    <xf numFmtId="0" fontId="15" fillId="4" borderId="12" xfId="0" applyFont="1" applyFill="1" applyBorder="1"/>
    <xf numFmtId="0" fontId="16" fillId="4" borderId="21" xfId="0" applyFont="1" applyFill="1" applyBorder="1"/>
    <xf numFmtId="0" fontId="17" fillId="4" borderId="23" xfId="0" applyFont="1" applyFill="1" applyBorder="1"/>
    <xf numFmtId="0" fontId="17" fillId="4" borderId="7" xfId="0" applyFont="1" applyFill="1" applyBorder="1"/>
    <xf numFmtId="0" fontId="19" fillId="4" borderId="0" xfId="0" applyFont="1" applyFill="1" applyBorder="1"/>
    <xf numFmtId="0" fontId="19" fillId="4" borderId="25" xfId="0" applyFont="1" applyFill="1" applyBorder="1"/>
    <xf numFmtId="0" fontId="19" fillId="4" borderId="22" xfId="0" applyFont="1" applyFill="1" applyBorder="1"/>
    <xf numFmtId="0" fontId="19" fillId="4" borderId="6" xfId="0" applyFont="1" applyFill="1" applyBorder="1"/>
    <xf numFmtId="0" fontId="0" fillId="5" borderId="0" xfId="0" applyFill="1"/>
    <xf numFmtId="0" fontId="4" fillId="2" borderId="11" xfId="0" applyFont="1" applyFill="1" applyBorder="1" applyAlignment="1"/>
    <xf numFmtId="0" fontId="2" fillId="0" borderId="27" xfId="0" applyFont="1" applyBorder="1"/>
    <xf numFmtId="0" fontId="16" fillId="4" borderId="0" xfId="0" applyFont="1" applyFill="1" applyBorder="1" applyAlignment="1">
      <alignment vertical="center" wrapText="1"/>
    </xf>
    <xf numFmtId="0" fontId="1" fillId="2" borderId="0" xfId="0" applyFont="1" applyFill="1" applyBorder="1"/>
    <xf numFmtId="0" fontId="8" fillId="2" borderId="10" xfId="0" applyFont="1" applyFill="1" applyBorder="1" applyAlignment="1">
      <alignment horizontal="center"/>
    </xf>
    <xf numFmtId="0" fontId="4" fillId="2" borderId="11" xfId="0" applyFont="1" applyFill="1" applyBorder="1" applyAlignment="1">
      <alignment horizontal="center"/>
    </xf>
    <xf numFmtId="0" fontId="2" fillId="0" borderId="1" xfId="0" applyFont="1" applyBorder="1"/>
    <xf numFmtId="0" fontId="2" fillId="0" borderId="12" xfId="0" applyFont="1" applyBorder="1" applyAlignment="1">
      <alignment horizontal="center"/>
    </xf>
    <xf numFmtId="0" fontId="2" fillId="0" borderId="14" xfId="0" applyFont="1" applyBorder="1" applyAlignment="1">
      <alignment horizontal="center"/>
    </xf>
    <xf numFmtId="0" fontId="2" fillId="0" borderId="13" xfId="0" applyFont="1" applyBorder="1" applyAlignment="1">
      <alignment horizontal="center"/>
    </xf>
    <xf numFmtId="0" fontId="20" fillId="6" borderId="12" xfId="0" applyFont="1" applyFill="1" applyBorder="1" applyAlignment="1">
      <alignment horizontal="center"/>
    </xf>
    <xf numFmtId="0" fontId="20" fillId="6" borderId="14" xfId="0" applyFont="1" applyFill="1" applyBorder="1" applyAlignment="1">
      <alignment horizontal="center"/>
    </xf>
    <xf numFmtId="0" fontId="1" fillId="4" borderId="2" xfId="0" applyFont="1" applyFill="1" applyBorder="1"/>
    <xf numFmtId="0" fontId="1" fillId="4" borderId="3" xfId="0" applyFont="1" applyFill="1" applyBorder="1"/>
    <xf numFmtId="0" fontId="1" fillId="4" borderId="4" xfId="0" applyFont="1" applyFill="1" applyBorder="1"/>
    <xf numFmtId="0" fontId="1" fillId="4" borderId="9" xfId="0" applyFont="1" applyFill="1" applyBorder="1"/>
    <xf numFmtId="0" fontId="1" fillId="4" borderId="0" xfId="0" applyFont="1" applyFill="1" applyBorder="1"/>
    <xf numFmtId="0" fontId="1" fillId="4" borderId="10" xfId="0" applyFont="1" applyFill="1" applyBorder="1"/>
    <xf numFmtId="0" fontId="1" fillId="4" borderId="5" xfId="0" applyFont="1" applyFill="1" applyBorder="1"/>
    <xf numFmtId="0" fontId="1" fillId="4" borderId="6" xfId="0" applyFont="1" applyFill="1" applyBorder="1"/>
    <xf numFmtId="0" fontId="1" fillId="4" borderId="7" xfId="0" applyFont="1" applyFill="1" applyBorder="1"/>
    <xf numFmtId="0" fontId="6" fillId="2" borderId="8" xfId="0" applyFont="1" applyFill="1" applyBorder="1" applyAlignment="1">
      <alignment horizontal="left"/>
    </xf>
    <xf numFmtId="0" fontId="6" fillId="2" borderId="15" xfId="0" applyFont="1" applyFill="1" applyBorder="1" applyAlignment="1">
      <alignment horizontal="left"/>
    </xf>
    <xf numFmtId="0" fontId="21" fillId="2" borderId="8" xfId="0" applyFont="1" applyFill="1" applyBorder="1" applyAlignment="1">
      <alignment horizontal="center" vertical="center"/>
    </xf>
    <xf numFmtId="0" fontId="21" fillId="2" borderId="15" xfId="0" applyFont="1" applyFill="1" applyBorder="1" applyAlignment="1">
      <alignment horizontal="center" vertical="center"/>
    </xf>
    <xf numFmtId="0" fontId="8" fillId="2" borderId="8" xfId="0" applyFont="1" applyFill="1" applyBorder="1" applyAlignment="1">
      <alignment horizontal="left" vertical="center"/>
    </xf>
    <xf numFmtId="0" fontId="8" fillId="2" borderId="15" xfId="0" applyFont="1" applyFill="1" applyBorder="1" applyAlignment="1">
      <alignment horizontal="left" vertical="center"/>
    </xf>
    <xf numFmtId="0" fontId="8" fillId="2" borderId="11" xfId="0" applyFont="1" applyFill="1" applyBorder="1" applyAlignment="1">
      <alignment horizontal="left" vertical="center"/>
    </xf>
    <xf numFmtId="0" fontId="8" fillId="2" borderId="2" xfId="0" applyFont="1" applyFill="1" applyBorder="1" applyAlignment="1">
      <alignment horizont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22" fillId="4" borderId="12" xfId="0" applyFont="1" applyFill="1" applyBorder="1" applyAlignment="1">
      <alignment horizontal="center" vertical="center"/>
    </xf>
    <xf numFmtId="0" fontId="22" fillId="4" borderId="14" xfId="0" applyFont="1" applyFill="1" applyBorder="1" applyAlignment="1">
      <alignment horizontal="center" vertical="center"/>
    </xf>
    <xf numFmtId="0" fontId="22" fillId="4" borderId="13" xfId="0" applyFont="1" applyFill="1" applyBorder="1" applyAlignment="1">
      <alignment horizontal="center" vertical="center"/>
    </xf>
    <xf numFmtId="0" fontId="12" fillId="4" borderId="2" xfId="0" applyFont="1" applyFill="1" applyBorder="1" applyAlignment="1">
      <alignment horizontal="left" vertical="center"/>
    </xf>
    <xf numFmtId="0" fontId="12" fillId="4" borderId="4" xfId="0" applyFont="1" applyFill="1" applyBorder="1" applyAlignment="1">
      <alignment horizontal="left" vertical="center"/>
    </xf>
    <xf numFmtId="0" fontId="12" fillId="4" borderId="9" xfId="0" applyFont="1" applyFill="1" applyBorder="1" applyAlignment="1">
      <alignment horizontal="left" vertical="center"/>
    </xf>
    <xf numFmtId="0" fontId="12" fillId="4" borderId="10" xfId="0" applyFont="1" applyFill="1" applyBorder="1" applyAlignment="1">
      <alignment horizontal="left" vertical="center"/>
    </xf>
    <xf numFmtId="0" fontId="12" fillId="4" borderId="5" xfId="0" applyFont="1" applyFill="1" applyBorder="1" applyAlignment="1">
      <alignment horizontal="left" vertical="center"/>
    </xf>
    <xf numFmtId="0" fontId="12" fillId="4" borderId="7" xfId="0" applyFont="1" applyFill="1" applyBorder="1" applyAlignment="1">
      <alignment horizontal="left" vertical="center"/>
    </xf>
    <xf numFmtId="0" fontId="10" fillId="2" borderId="2" xfId="0" applyFont="1" applyFill="1" applyBorder="1" applyAlignment="1">
      <alignment horizontal="left"/>
    </xf>
    <xf numFmtId="0" fontId="10" fillId="2" borderId="3" xfId="0" applyFont="1" applyFill="1" applyBorder="1" applyAlignment="1">
      <alignment horizontal="left"/>
    </xf>
    <xf numFmtId="0" fontId="10" fillId="2" borderId="4" xfId="0" applyFont="1" applyFill="1" applyBorder="1" applyAlignment="1">
      <alignment horizontal="left"/>
    </xf>
    <xf numFmtId="0" fontId="10" fillId="2" borderId="9" xfId="0" applyFont="1" applyFill="1" applyBorder="1" applyAlignment="1">
      <alignment horizontal="left"/>
    </xf>
    <xf numFmtId="0" fontId="10" fillId="2" borderId="0" xfId="0" applyFont="1" applyFill="1" applyBorder="1" applyAlignment="1">
      <alignment horizontal="left"/>
    </xf>
    <xf numFmtId="0" fontId="10" fillId="2" borderId="10" xfId="0" applyFont="1" applyFill="1" applyBorder="1" applyAlignment="1">
      <alignment horizontal="left"/>
    </xf>
    <xf numFmtId="0" fontId="11" fillId="3" borderId="2" xfId="0" applyFont="1" applyFill="1" applyBorder="1" applyAlignment="1">
      <alignment horizontal="center" vertical="center"/>
    </xf>
    <xf numFmtId="0" fontId="11" fillId="3" borderId="5" xfId="0" applyFont="1" applyFill="1" applyBorder="1" applyAlignment="1">
      <alignment horizontal="center" vertical="center"/>
    </xf>
    <xf numFmtId="0" fontId="11" fillId="3" borderId="3" xfId="0" applyFont="1" applyFill="1" applyBorder="1" applyAlignment="1">
      <alignment horizontal="center" vertical="center"/>
    </xf>
    <xf numFmtId="0" fontId="11" fillId="3" borderId="6" xfId="0" applyFont="1" applyFill="1" applyBorder="1" applyAlignment="1">
      <alignment horizontal="center" vertical="center"/>
    </xf>
    <xf numFmtId="0" fontId="4" fillId="2" borderId="5" xfId="0" applyFont="1" applyFill="1" applyBorder="1" applyAlignment="1">
      <alignment horizontal="left"/>
    </xf>
    <xf numFmtId="0" fontId="4" fillId="2" borderId="6" xfId="0" applyFont="1" applyFill="1" applyBorder="1" applyAlignment="1">
      <alignment horizontal="left"/>
    </xf>
    <xf numFmtId="0" fontId="4" fillId="2" borderId="7" xfId="0" applyFont="1" applyFill="1" applyBorder="1" applyAlignment="1">
      <alignment horizontal="left"/>
    </xf>
    <xf numFmtId="0" fontId="18" fillId="4" borderId="2" xfId="0" applyFont="1" applyFill="1" applyBorder="1" applyAlignment="1">
      <alignment horizontal="center" vertical="center"/>
    </xf>
    <xf numFmtId="0" fontId="18" fillId="4" borderId="3" xfId="0" applyFont="1" applyFill="1" applyBorder="1" applyAlignment="1">
      <alignment horizontal="center" vertical="center"/>
    </xf>
    <xf numFmtId="0" fontId="18" fillId="4" borderId="4" xfId="0" applyFont="1" applyFill="1" applyBorder="1" applyAlignment="1">
      <alignment horizontal="center" vertical="center"/>
    </xf>
    <xf numFmtId="0" fontId="18" fillId="4" borderId="9" xfId="0" applyFont="1" applyFill="1" applyBorder="1" applyAlignment="1">
      <alignment horizontal="center" vertical="center"/>
    </xf>
    <xf numFmtId="0" fontId="18" fillId="4" borderId="0" xfId="0" applyFont="1" applyFill="1" applyBorder="1" applyAlignment="1">
      <alignment horizontal="center" vertical="center"/>
    </xf>
    <xf numFmtId="0" fontId="18" fillId="4" borderId="10" xfId="0" applyFont="1" applyFill="1" applyBorder="1" applyAlignment="1">
      <alignment horizontal="center" vertical="center"/>
    </xf>
    <xf numFmtId="0" fontId="15" fillId="4" borderId="8" xfId="0" applyFont="1" applyFill="1" applyBorder="1" applyAlignment="1">
      <alignment horizontal="center" vertical="center"/>
    </xf>
    <xf numFmtId="0" fontId="15" fillId="4" borderId="11" xfId="0" applyFont="1" applyFill="1" applyBorder="1" applyAlignment="1">
      <alignment horizontal="center" vertical="center"/>
    </xf>
    <xf numFmtId="0" fontId="16" fillId="4" borderId="8" xfId="0" applyFont="1" applyFill="1" applyBorder="1" applyAlignment="1">
      <alignment horizontal="center" vertical="center" wrapText="1"/>
    </xf>
    <xf numFmtId="0" fontId="16" fillId="4" borderId="11" xfId="0" applyFont="1" applyFill="1" applyBorder="1" applyAlignment="1">
      <alignment horizontal="center" vertical="center" wrapText="1"/>
    </xf>
    <xf numFmtId="0" fontId="16" fillId="4" borderId="9" xfId="0" applyFont="1" applyFill="1" applyBorder="1" applyAlignment="1">
      <alignment horizontal="center" vertical="top" wrapText="1"/>
    </xf>
    <xf numFmtId="0" fontId="16" fillId="4" borderId="10" xfId="0" applyFont="1" applyFill="1" applyBorder="1" applyAlignment="1">
      <alignment horizontal="center" vertical="top" wrapText="1"/>
    </xf>
    <xf numFmtId="0" fontId="16" fillId="4" borderId="5" xfId="0" applyFont="1" applyFill="1" applyBorder="1" applyAlignment="1">
      <alignment horizontal="center" vertical="top" wrapText="1"/>
    </xf>
    <xf numFmtId="0" fontId="16" fillId="4" borderId="7" xfId="0" applyFont="1" applyFill="1" applyBorder="1" applyAlignment="1">
      <alignment horizontal="center" vertical="top" wrapText="1"/>
    </xf>
    <xf numFmtId="0" fontId="16" fillId="4" borderId="9" xfId="0" applyFont="1" applyFill="1" applyBorder="1" applyAlignment="1">
      <alignment horizontal="left" vertical="top" wrapText="1"/>
    </xf>
    <xf numFmtId="0" fontId="16" fillId="4" borderId="0" xfId="0" applyFont="1" applyFill="1" applyBorder="1" applyAlignment="1">
      <alignment horizontal="left" vertical="top" wrapText="1"/>
    </xf>
    <xf numFmtId="0" fontId="16" fillId="4" borderId="10" xfId="0" applyFont="1" applyFill="1" applyBorder="1" applyAlignment="1">
      <alignment horizontal="left" vertical="top" wrapText="1"/>
    </xf>
    <xf numFmtId="0" fontId="16" fillId="4" borderId="5" xfId="0" applyFont="1" applyFill="1" applyBorder="1" applyAlignment="1">
      <alignment horizontal="left" vertical="top" wrapText="1"/>
    </xf>
    <xf numFmtId="0" fontId="16" fillId="4" borderId="6" xfId="0" applyFont="1" applyFill="1" applyBorder="1" applyAlignment="1">
      <alignment horizontal="left" vertical="top" wrapText="1"/>
    </xf>
    <xf numFmtId="0" fontId="16" fillId="4" borderId="7" xfId="0" applyFont="1" applyFill="1" applyBorder="1" applyAlignment="1">
      <alignment horizontal="left" vertical="top" wrapText="1"/>
    </xf>
    <xf numFmtId="0" fontId="16" fillId="4" borderId="5" xfId="0" applyFont="1" applyFill="1" applyBorder="1" applyAlignment="1">
      <alignment horizontal="center" vertical="center" wrapText="1"/>
    </xf>
    <xf numFmtId="0" fontId="16" fillId="4" borderId="7" xfId="0" applyFont="1" applyFill="1" applyBorder="1" applyAlignment="1">
      <alignment horizontal="center" vertical="center" wrapText="1"/>
    </xf>
    <xf numFmtId="0" fontId="16" fillId="4" borderId="2" xfId="0" applyFont="1" applyFill="1" applyBorder="1" applyAlignment="1">
      <alignment horizontal="left" vertical="top"/>
    </xf>
    <xf numFmtId="0" fontId="16" fillId="4" borderId="4" xfId="0" applyFont="1" applyFill="1" applyBorder="1" applyAlignment="1">
      <alignment horizontal="left" vertical="top"/>
    </xf>
    <xf numFmtId="0" fontId="19" fillId="4" borderId="9" xfId="0" applyFont="1" applyFill="1" applyBorder="1" applyAlignment="1">
      <alignment horizontal="center" vertical="top"/>
    </xf>
    <xf numFmtId="0" fontId="19" fillId="4" borderId="10" xfId="0" applyFont="1" applyFill="1" applyBorder="1" applyAlignment="1">
      <alignment horizontal="center" vertical="top"/>
    </xf>
    <xf numFmtId="0" fontId="19" fillId="4" borderId="5" xfId="0" applyFont="1" applyFill="1" applyBorder="1" applyAlignment="1">
      <alignment horizontal="center" vertical="top"/>
    </xf>
    <xf numFmtId="0" fontId="19" fillId="4" borderId="7" xfId="0" applyFont="1" applyFill="1" applyBorder="1" applyAlignment="1">
      <alignment horizontal="center" vertical="top"/>
    </xf>
    <xf numFmtId="0" fontId="19" fillId="4" borderId="9" xfId="0" applyFont="1" applyFill="1" applyBorder="1" applyAlignment="1">
      <alignment horizontal="center" vertical="top" wrapText="1"/>
    </xf>
    <xf numFmtId="0" fontId="19" fillId="4" borderId="10" xfId="0" applyFont="1" applyFill="1" applyBorder="1" applyAlignment="1">
      <alignment horizontal="center" vertical="top" wrapText="1"/>
    </xf>
    <xf numFmtId="0" fontId="19" fillId="4" borderId="5" xfId="0" applyFont="1" applyFill="1" applyBorder="1" applyAlignment="1">
      <alignment horizontal="center" vertical="top" wrapText="1"/>
    </xf>
    <xf numFmtId="0" fontId="19" fillId="4" borderId="7" xfId="0" applyFont="1" applyFill="1" applyBorder="1" applyAlignment="1">
      <alignment horizontal="center" vertical="top" wrapText="1"/>
    </xf>
    <xf numFmtId="0" fontId="23" fillId="0" borderId="0" xfId="1"/>
  </cellXfs>
  <cellStyles count="2">
    <cellStyle name="Normal" xfId="0" builtinId="0"/>
    <cellStyle name="Normal 2" xfId="1"/>
  </cellStyles>
  <dxfs count="196">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alignment horizontal="center" vertical="bottom" textRotation="0" wrapText="0" indent="0" justifyLastLine="0" shrinkToFit="0" readingOrder="0"/>
    </dxf>
    <dxf>
      <font>
        <b val="0"/>
        <i val="0"/>
        <strike val="0"/>
        <condense val="0"/>
        <extend val="0"/>
        <outline val="0"/>
        <shadow val="0"/>
        <u val="none"/>
        <vertAlign val="baseline"/>
        <sz val="9"/>
        <color theme="1"/>
        <name val="Microsoft YaHei"/>
        <scheme val="none"/>
      </font>
      <alignment horizontal="center" vertical="bottom" textRotation="0" wrapText="0" indent="0" justifyLastLine="0" shrinkToFit="0" readingOrder="0"/>
    </dxf>
    <dxf>
      <font>
        <strike val="0"/>
        <outline val="0"/>
        <shadow val="0"/>
        <u val="none"/>
        <vertAlign val="baseline"/>
        <sz val="9"/>
        <color theme="1"/>
        <name val="Microsoft YaHei"/>
        <scheme val="none"/>
      </font>
      <border diagonalUp="0" diagonalDown="0">
        <left/>
        <right style="thin">
          <color theme="0" tint="-0.499984740745262"/>
        </right>
        <top/>
        <bottom/>
        <vertical/>
        <horizontal/>
      </border>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border diagonalUp="0" diagonalDown="0">
        <left/>
        <right style="thin">
          <color theme="0" tint="-0.499984740745262"/>
        </right>
        <top/>
        <bottom/>
        <vertical/>
        <horizontal/>
      </border>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border diagonalUp="0" diagonalDown="0">
        <left/>
        <right style="thin">
          <color theme="0" tint="-0.499984740745262"/>
        </right>
        <top/>
        <bottom/>
        <vertical/>
        <horizontal/>
      </border>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border diagonalUp="0" diagonalDown="0">
        <left/>
        <right style="thin">
          <color theme="0" tint="-0.499984740745262"/>
        </right>
        <top/>
        <bottom/>
        <vertical/>
        <horizontal/>
      </border>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border diagonalUp="0" diagonalDown="0">
        <left/>
        <right style="thin">
          <color theme="0" tint="-0.499984740745262"/>
        </right>
        <top/>
        <bottom/>
        <vertical/>
        <horizontal/>
      </border>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border diagonalUp="0" diagonalDown="0">
        <left/>
        <right style="thin">
          <color indexed="64"/>
        </right>
        <top/>
        <bottom/>
        <vertical/>
        <horizontal/>
      </border>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alignment horizontal="center" vertical="bottom" textRotation="0" wrapText="0" indent="0" justifyLastLine="0" shrinkToFit="0" readingOrder="0"/>
    </dxf>
    <dxf>
      <font>
        <b val="0"/>
        <i val="0"/>
        <strike val="0"/>
        <condense val="0"/>
        <extend val="0"/>
        <outline val="0"/>
        <shadow val="0"/>
        <u val="none"/>
        <vertAlign val="baseline"/>
        <sz val="9"/>
        <color theme="1"/>
        <name val="Microsoft YaHei"/>
        <scheme val="none"/>
      </font>
      <alignment horizontal="center" vertical="bottom" textRotation="0" wrapText="0" indent="0" justifyLastLine="0" shrinkToFit="0" readingOrder="0"/>
    </dxf>
    <dxf>
      <font>
        <strike val="0"/>
        <outline val="0"/>
        <shadow val="0"/>
        <u val="none"/>
        <vertAlign val="baseline"/>
        <sz val="9"/>
        <color theme="1"/>
        <name val="Microsoft YaHei"/>
        <scheme val="none"/>
      </font>
      <border diagonalUp="0" diagonalDown="0">
        <left/>
        <right style="thin">
          <color theme="0" tint="-0.499984740745262"/>
        </right>
        <top/>
        <bottom/>
        <vertical/>
        <horizontal/>
      </border>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border diagonalUp="0" diagonalDown="0">
        <left/>
        <right style="thin">
          <color theme="0" tint="-0.499984740745262"/>
        </right>
        <top/>
        <bottom/>
        <vertical/>
        <horizontal/>
      </border>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border diagonalUp="0" diagonalDown="0">
        <left/>
        <right style="thin">
          <color theme="0" tint="-0.499984740745262"/>
        </right>
        <top/>
        <bottom/>
        <vertical/>
        <horizontal/>
      </border>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border diagonalUp="0" diagonalDown="0">
        <left/>
        <right style="thin">
          <color theme="0" tint="-0.499984740745262"/>
        </right>
        <top/>
        <bottom/>
        <vertical/>
        <horizontal/>
      </border>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border diagonalUp="0" diagonalDown="0">
        <left/>
        <right style="thin">
          <color theme="0" tint="-0.499984740745262"/>
        </right>
        <top/>
        <bottom/>
        <vertical/>
        <horizontal/>
      </border>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border diagonalUp="0" diagonalDown="0">
        <left/>
        <right style="thin">
          <color indexed="64"/>
        </right>
        <top/>
        <bottom/>
        <vertical/>
        <horizontal/>
      </border>
    </dxf>
    <dxf>
      <font>
        <b val="0"/>
        <i val="0"/>
        <strike val="0"/>
        <condense val="0"/>
        <extend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strike val="0"/>
        <outline val="0"/>
        <shadow val="0"/>
        <u val="none"/>
        <vertAlign val="baseline"/>
        <sz val="9"/>
        <color theme="1"/>
        <name val="Microsoft YaHei"/>
        <scheme val="none"/>
      </font>
      <alignment horizontal="center" vertical="bottom" textRotation="0" wrapText="0" indent="0" justifyLastLine="0" shrinkToFit="0" readingOrder="0"/>
    </dxf>
    <dxf>
      <font>
        <strike val="0"/>
        <outline val="0"/>
        <shadow val="0"/>
        <u val="none"/>
        <vertAlign val="baseline"/>
        <sz val="9"/>
        <color theme="1"/>
        <name val="Microsoft YaHei"/>
        <scheme val="none"/>
      </font>
      <border diagonalUp="0" diagonalDown="0">
        <left/>
        <right style="thin">
          <color theme="0" tint="-0.499984740745262"/>
        </right>
        <top/>
        <bottom/>
        <vertical/>
        <horizontal/>
      </border>
    </dxf>
    <dxf>
      <font>
        <strike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strike val="0"/>
        <outline val="0"/>
        <shadow val="0"/>
        <u val="none"/>
        <vertAlign val="baseline"/>
        <sz val="9"/>
        <color theme="1"/>
        <name val="Microsoft YaHei"/>
        <scheme val="none"/>
      </font>
      <border diagonalUp="0" diagonalDown="0">
        <left/>
        <right style="thin">
          <color theme="0" tint="-0.499984740745262"/>
        </right>
        <top/>
        <bottom/>
        <vertical/>
        <horizontal/>
      </border>
    </dxf>
    <dxf>
      <font>
        <strike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strike val="0"/>
        <outline val="0"/>
        <shadow val="0"/>
        <u val="none"/>
        <vertAlign val="baseline"/>
        <sz val="9"/>
        <color theme="1"/>
        <name val="Microsoft YaHei"/>
        <scheme val="none"/>
      </font>
      <border diagonalUp="0" diagonalDown="0">
        <left/>
        <right style="thin">
          <color theme="0" tint="-0.499984740745262"/>
        </right>
        <top/>
        <bottom/>
        <vertical/>
        <horizontal/>
      </border>
    </dxf>
    <dxf>
      <font>
        <strike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strike val="0"/>
        <outline val="0"/>
        <shadow val="0"/>
        <u val="none"/>
        <vertAlign val="baseline"/>
        <sz val="9"/>
        <color theme="1"/>
        <name val="Microsoft YaHei"/>
        <scheme val="none"/>
      </font>
      <border diagonalUp="0" diagonalDown="0">
        <left/>
        <right style="thin">
          <color theme="0" tint="-0.499984740745262"/>
        </right>
        <top/>
        <bottom/>
        <vertical/>
        <horizontal/>
      </border>
    </dxf>
    <dxf>
      <font>
        <strike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strike val="0"/>
        <outline val="0"/>
        <shadow val="0"/>
        <u val="none"/>
        <vertAlign val="baseline"/>
        <sz val="9"/>
        <color theme="1"/>
        <name val="Microsoft YaHei"/>
        <scheme val="none"/>
      </font>
      <border diagonalUp="0" diagonalDown="0">
        <left/>
        <right style="thin">
          <color theme="0" tint="-0.499984740745262"/>
        </right>
        <top/>
        <bottom/>
        <vertical/>
        <horizontal/>
      </border>
    </dxf>
    <dxf>
      <font>
        <strike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strike val="0"/>
        <outline val="0"/>
        <shadow val="0"/>
        <u val="none"/>
        <vertAlign val="baseline"/>
        <sz val="9"/>
        <color theme="1"/>
        <name val="Microsoft YaHei"/>
        <scheme val="none"/>
      </font>
      <border diagonalUp="0" diagonalDown="0">
        <left style="thin">
          <color theme="0" tint="-0.499984740745262"/>
        </left>
        <right/>
        <top/>
        <bottom/>
        <vertical/>
        <horizontal/>
      </border>
    </dxf>
    <dxf>
      <font>
        <strike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
      <font>
        <strike val="0"/>
        <outline val="0"/>
        <shadow val="0"/>
        <u val="none"/>
        <vertAlign val="baseline"/>
        <sz val="9"/>
        <color theme="1"/>
        <name val="Microsoft YaHei"/>
        <scheme val="none"/>
      </font>
      <border diagonalUp="0" diagonalDown="0">
        <left/>
        <right style="thin">
          <color indexed="64"/>
        </right>
        <top/>
        <bottom/>
        <vertical/>
        <horizontal/>
      </border>
    </dxf>
    <dxf>
      <font>
        <color theme="0"/>
      </font>
      <fill>
        <patternFill patternType="solid">
          <fgColor rgb="FFFF0000"/>
          <bgColor rgb="FFC00000"/>
        </patternFill>
      </fill>
    </dxf>
    <dxf>
      <fill>
        <patternFill patternType="lightTrellis">
          <fgColor theme="0" tint="-0.34998626667073579"/>
          <bgColor theme="0" tint="-0.14993743705557422"/>
        </patternFill>
      </fill>
    </dxf>
    <dxf>
      <fill>
        <patternFill patternType="lightTrellis">
          <fgColor theme="0" tint="-0.34998626667073579"/>
          <bgColor theme="0" tint="-0.14996795556505021"/>
        </patternFill>
      </fill>
    </dxf>
    <dxf>
      <fill>
        <patternFill patternType="lightTrellis">
          <fgColor theme="0"/>
          <bgColor theme="7" tint="0.39994506668294322"/>
        </patternFill>
      </fill>
    </dxf>
    <dxf>
      <fill>
        <patternFill patternType="lightTrellis">
          <fgColor theme="0"/>
          <bgColor theme="7" tint="0.39994506668294322"/>
        </patternFill>
      </fill>
    </dxf>
    <dxf>
      <font>
        <color theme="1"/>
      </font>
      <fill>
        <patternFill patternType="lightTrellis">
          <fgColor theme="0"/>
          <bgColor theme="7" tint="0.39994506668294322"/>
        </patternFill>
      </fill>
    </dxf>
    <dxf>
      <font>
        <color theme="1" tint="0.24994659260841701"/>
      </font>
      <fill>
        <patternFill>
          <bgColor theme="7" tint="0.59996337778862885"/>
        </patternFill>
      </fill>
    </dxf>
    <dxf>
      <font>
        <color rgb="FF00B050"/>
      </font>
    </dxf>
    <dxf>
      <font>
        <color theme="7" tint="-0.24994659260841701"/>
      </font>
    </dxf>
    <dxf>
      <font>
        <color rgb="FFC00000"/>
      </font>
    </dxf>
    <dxf>
      <font>
        <b val="0"/>
        <i val="0"/>
        <strike val="0"/>
        <condense val="0"/>
        <extend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alignment horizontal="center" vertical="bottom" textRotation="0" wrapText="0" indent="0" justifyLastLine="0" shrinkToFit="0" readingOrder="0"/>
    </dxf>
    <dxf>
      <font>
        <b val="0"/>
        <i val="0"/>
        <strike val="0"/>
        <condense val="0"/>
        <extend val="0"/>
        <outline val="0"/>
        <shadow val="0"/>
        <u val="none"/>
        <vertAlign val="baseline"/>
        <sz val="9"/>
        <color theme="1"/>
        <name val="Microsoft YaHei"/>
        <scheme val="none"/>
      </font>
    </dxf>
    <dxf>
      <font>
        <b val="0"/>
        <i val="0"/>
        <strike val="0"/>
        <condense val="0"/>
        <extend val="0"/>
        <outline val="0"/>
        <shadow val="0"/>
        <u val="none"/>
        <vertAlign val="baseline"/>
        <sz val="9"/>
        <color theme="1"/>
        <name val="Microsoft YaHei"/>
        <scheme val="none"/>
      </font>
    </dxf>
    <dxf>
      <font>
        <b val="0"/>
        <i val="0"/>
        <strike val="0"/>
        <condense val="0"/>
        <extend val="0"/>
        <outline val="0"/>
        <shadow val="0"/>
        <u val="none"/>
        <vertAlign val="baseline"/>
        <sz val="10"/>
        <color theme="1"/>
        <name val="Microsoft YaHei"/>
        <scheme val="none"/>
      </font>
      <fill>
        <patternFill patternType="solid">
          <fgColor indexed="64"/>
          <bgColor theme="4"/>
        </patternFill>
      </fill>
      <alignment horizontal="left" vertical="bottom" textRotation="0" wrapText="0" indent="0" justifyLastLine="0" shrinkToFit="0" readingOrder="0"/>
    </dxf>
    <dxf>
      <font>
        <b val="0"/>
        <i val="0"/>
        <strike val="0"/>
        <condense val="0"/>
        <extend val="0"/>
        <outline val="0"/>
        <shadow val="0"/>
        <u val="none"/>
        <vertAlign val="baseline"/>
        <sz val="10"/>
        <color theme="1"/>
        <name val="Microsoft YaHei"/>
        <scheme val="none"/>
      </font>
      <numFmt numFmtId="1" formatCode="0"/>
      <fill>
        <patternFill patternType="solid">
          <fgColor indexed="64"/>
          <bgColor theme="4"/>
        </patternFill>
      </fill>
    </dxf>
    <dxf>
      <font>
        <b val="0"/>
        <i val="0"/>
        <strike val="0"/>
        <condense val="0"/>
        <extend val="0"/>
        <outline val="0"/>
        <shadow val="0"/>
        <u val="none"/>
        <vertAlign val="baseline"/>
        <sz val="10"/>
        <color theme="1"/>
        <name val="Microsoft YaHei"/>
        <scheme val="none"/>
      </font>
      <numFmt numFmtId="1" formatCode="0"/>
      <fill>
        <patternFill patternType="solid">
          <fgColor indexed="64"/>
          <bgColor theme="4"/>
        </patternFill>
      </fill>
    </dxf>
    <dxf>
      <font>
        <b val="0"/>
        <i val="0"/>
        <strike val="0"/>
        <condense val="0"/>
        <extend val="0"/>
        <outline val="0"/>
        <shadow val="0"/>
        <u val="none"/>
        <vertAlign val="baseline"/>
        <sz val="10"/>
        <color theme="1"/>
        <name val="Microsoft YaHei"/>
        <scheme val="none"/>
      </font>
      <fill>
        <patternFill patternType="solid">
          <fgColor indexed="64"/>
          <bgColor theme="4"/>
        </patternFill>
      </fill>
    </dxf>
    <dxf>
      <font>
        <b val="0"/>
        <i val="0"/>
        <strike val="0"/>
        <condense val="0"/>
        <extend val="0"/>
        <outline val="0"/>
        <shadow val="0"/>
        <u val="none"/>
        <vertAlign val="baseline"/>
        <sz val="10"/>
        <color theme="1"/>
        <name val="Microsoft YaHei"/>
        <scheme val="none"/>
      </font>
      <fill>
        <patternFill patternType="solid">
          <fgColor indexed="64"/>
          <bgColor theme="4"/>
        </patternFill>
      </fill>
    </dxf>
    <dxf>
      <font>
        <b val="0"/>
        <i val="0"/>
        <strike val="0"/>
        <condense val="0"/>
        <extend val="0"/>
        <outline val="0"/>
        <shadow val="0"/>
        <u val="none"/>
        <vertAlign val="baseline"/>
        <sz val="10"/>
        <color theme="1"/>
        <name val="Microsoft YaHei"/>
        <scheme val="none"/>
      </font>
      <fill>
        <patternFill patternType="solid">
          <fgColor indexed="64"/>
          <bgColor theme="4"/>
        </patternFill>
      </fill>
    </dxf>
    <dxf>
      <font>
        <b val="0"/>
        <i val="0"/>
        <strike val="0"/>
        <condense val="0"/>
        <extend val="0"/>
        <outline val="0"/>
        <shadow val="0"/>
        <u val="none"/>
        <vertAlign val="baseline"/>
        <sz val="10"/>
        <color theme="1"/>
        <name val="Microsoft YaHei"/>
        <scheme val="none"/>
      </font>
      <fill>
        <patternFill patternType="solid">
          <fgColor indexed="64"/>
          <bgColor theme="4"/>
        </patternFill>
      </fill>
    </dxf>
    <dxf>
      <font>
        <b val="0"/>
        <i val="0"/>
        <strike val="0"/>
        <condense val="0"/>
        <extend val="0"/>
        <outline val="0"/>
        <shadow val="0"/>
        <u val="none"/>
        <vertAlign val="baseline"/>
        <sz val="10"/>
        <color theme="1"/>
        <name val="Microsoft YaHei"/>
        <scheme val="none"/>
      </font>
      <fill>
        <patternFill patternType="solid">
          <fgColor indexed="64"/>
          <bgColor theme="4"/>
        </patternFill>
      </fill>
    </dxf>
    <dxf>
      <font>
        <b val="0"/>
        <i val="0"/>
        <strike val="0"/>
        <condense val="0"/>
        <extend val="0"/>
        <outline val="0"/>
        <shadow val="0"/>
        <u val="none"/>
        <vertAlign val="baseline"/>
        <sz val="10"/>
        <color theme="1"/>
        <name val="Microsoft YaHei"/>
        <scheme val="none"/>
      </font>
      <fill>
        <patternFill patternType="solid">
          <fgColor indexed="64"/>
          <bgColor theme="4"/>
        </patternFill>
      </fill>
    </dxf>
    <dxf>
      <font>
        <b val="0"/>
        <i val="0"/>
        <strike val="0"/>
        <condense val="0"/>
        <extend val="0"/>
        <outline val="0"/>
        <shadow val="0"/>
        <u val="none"/>
        <vertAlign val="baseline"/>
        <sz val="10"/>
        <color theme="1"/>
        <name val="Microsoft YaHei"/>
        <scheme val="none"/>
      </font>
      <fill>
        <patternFill patternType="solid">
          <fgColor indexed="64"/>
          <bgColor theme="4"/>
        </patternFill>
      </fill>
    </dxf>
    <dxf>
      <font>
        <b val="0"/>
        <i val="0"/>
        <strike val="0"/>
        <condense val="0"/>
        <extend val="0"/>
        <outline val="0"/>
        <shadow val="0"/>
        <u val="none"/>
        <vertAlign val="baseline"/>
        <sz val="10"/>
        <color theme="1"/>
        <name val="Microsoft YaHei"/>
        <scheme val="none"/>
      </font>
      <fill>
        <patternFill patternType="solid">
          <fgColor indexed="64"/>
          <bgColor theme="4"/>
        </patternFill>
      </fill>
    </dxf>
    <dxf>
      <font>
        <b val="0"/>
        <i val="0"/>
        <strike val="0"/>
        <condense val="0"/>
        <extend val="0"/>
        <outline val="0"/>
        <shadow val="0"/>
        <u val="none"/>
        <vertAlign val="baseline"/>
        <sz val="10"/>
        <color theme="1"/>
        <name val="Microsoft YaHei"/>
        <scheme val="none"/>
      </font>
      <fill>
        <patternFill patternType="solid">
          <fgColor indexed="64"/>
          <bgColor theme="4"/>
        </patternFill>
      </fill>
    </dxf>
    <dxf>
      <font>
        <b val="0"/>
        <i val="0"/>
        <strike val="0"/>
        <condense val="0"/>
        <extend val="0"/>
        <outline val="0"/>
        <shadow val="0"/>
        <u val="none"/>
        <vertAlign val="baseline"/>
        <sz val="10"/>
        <color theme="1"/>
        <name val="Microsoft YaHei"/>
        <scheme val="none"/>
      </font>
      <fill>
        <patternFill patternType="solid">
          <fgColor indexed="64"/>
          <bgColor theme="4"/>
        </patternFill>
      </fill>
    </dxf>
    <dxf>
      <font>
        <b val="0"/>
        <i val="0"/>
        <strike val="0"/>
        <condense val="0"/>
        <extend val="0"/>
        <outline val="0"/>
        <shadow val="0"/>
        <u val="none"/>
        <vertAlign val="baseline"/>
        <sz val="10"/>
        <color theme="1"/>
        <name val="Microsoft YaHei"/>
        <scheme val="none"/>
      </font>
      <fill>
        <patternFill patternType="solid">
          <fgColor indexed="64"/>
          <bgColor theme="4"/>
        </patternFill>
      </fill>
    </dxf>
    <dxf>
      <font>
        <b val="0"/>
        <i val="0"/>
        <strike val="0"/>
        <condense val="0"/>
        <extend val="0"/>
        <outline val="0"/>
        <shadow val="0"/>
        <u val="none"/>
        <vertAlign val="baseline"/>
        <sz val="10"/>
        <color theme="1"/>
        <name val="Microsoft YaHei"/>
        <scheme val="none"/>
      </font>
      <fill>
        <patternFill patternType="solid">
          <fgColor indexed="64"/>
          <bgColor theme="4"/>
        </patternFill>
      </fill>
    </dxf>
    <dxf>
      <font>
        <b val="0"/>
        <i val="0"/>
        <strike val="0"/>
        <condense val="0"/>
        <extend val="0"/>
        <outline val="0"/>
        <shadow val="0"/>
        <u val="none"/>
        <vertAlign val="baseline"/>
        <sz val="10"/>
        <color theme="1"/>
        <name val="Microsoft YaHei"/>
        <scheme val="none"/>
      </font>
      <fill>
        <patternFill patternType="solid">
          <fgColor indexed="64"/>
          <bgColor theme="4"/>
        </patternFill>
      </fill>
    </dxf>
    <dxf>
      <font>
        <b val="0"/>
        <i val="0"/>
        <strike val="0"/>
        <condense val="0"/>
        <extend val="0"/>
        <outline val="0"/>
        <shadow val="0"/>
        <u val="none"/>
        <vertAlign val="baseline"/>
        <sz val="10"/>
        <color theme="1"/>
        <name val="Microsoft YaHei"/>
        <scheme val="none"/>
      </font>
      <fill>
        <patternFill patternType="solid">
          <fgColor indexed="64"/>
          <bgColor theme="4"/>
        </patternFill>
      </fill>
    </dxf>
    <dxf>
      <font>
        <b val="0"/>
        <i val="0"/>
        <strike val="0"/>
        <condense val="0"/>
        <extend val="0"/>
        <outline val="0"/>
        <shadow val="0"/>
        <u val="none"/>
        <vertAlign val="baseline"/>
        <sz val="10"/>
        <color theme="1"/>
        <name val="Microsoft YaHei"/>
        <scheme val="none"/>
      </font>
      <fill>
        <patternFill patternType="solid">
          <fgColor indexed="64"/>
          <bgColor theme="4"/>
        </patternFill>
      </fill>
    </dxf>
    <dxf>
      <font>
        <b val="0"/>
        <i val="0"/>
        <strike val="0"/>
        <condense val="0"/>
        <extend val="0"/>
        <outline val="0"/>
        <shadow val="0"/>
        <u val="none"/>
        <vertAlign val="baseline"/>
        <sz val="10"/>
        <color theme="1"/>
        <name val="Microsoft YaHei"/>
        <scheme val="none"/>
      </font>
      <fill>
        <patternFill patternType="solid">
          <fgColor indexed="64"/>
          <bgColor theme="4"/>
        </patternFill>
      </fill>
    </dxf>
    <dxf>
      <font>
        <b val="0"/>
        <i val="0"/>
        <strike val="0"/>
        <condense val="0"/>
        <extend val="0"/>
        <outline val="0"/>
        <shadow val="0"/>
        <u val="none"/>
        <vertAlign val="baseline"/>
        <sz val="10"/>
        <color theme="1"/>
        <name val="Microsoft YaHei"/>
        <scheme val="none"/>
      </font>
      <fill>
        <patternFill patternType="solid">
          <fgColor indexed="64"/>
          <bgColor theme="4"/>
        </patternFill>
      </fill>
    </dxf>
    <dxf>
      <font>
        <b val="0"/>
        <i val="0"/>
        <strike val="0"/>
        <condense val="0"/>
        <extend val="0"/>
        <outline val="0"/>
        <shadow val="0"/>
        <u val="none"/>
        <vertAlign val="baseline"/>
        <sz val="10"/>
        <color theme="1"/>
        <name val="Microsoft YaHei"/>
        <scheme val="none"/>
      </font>
      <fill>
        <patternFill patternType="solid">
          <fgColor indexed="64"/>
          <bgColor theme="4"/>
        </patternFill>
      </fill>
    </dxf>
    <dxf>
      <font>
        <b val="0"/>
        <i val="0"/>
        <strike val="0"/>
        <condense val="0"/>
        <extend val="0"/>
        <outline val="0"/>
        <shadow val="0"/>
        <u val="none"/>
        <vertAlign val="baseline"/>
        <sz val="10"/>
        <color theme="1"/>
        <name val="Microsoft YaHei"/>
        <scheme val="none"/>
      </font>
      <fill>
        <patternFill patternType="solid">
          <fgColor indexed="64"/>
          <bgColor theme="4"/>
        </patternFill>
      </fill>
    </dxf>
    <dxf>
      <font>
        <b val="0"/>
        <i val="0"/>
        <strike val="0"/>
        <condense val="0"/>
        <extend val="0"/>
        <outline val="0"/>
        <shadow val="0"/>
        <u val="none"/>
        <vertAlign val="baseline"/>
        <sz val="10"/>
        <color theme="1"/>
        <name val="Microsoft YaHei"/>
        <scheme val="none"/>
      </font>
      <fill>
        <patternFill patternType="solid">
          <fgColor indexed="64"/>
          <bgColor theme="4"/>
        </patternFill>
      </fill>
    </dxf>
    <dxf>
      <font>
        <b val="0"/>
        <i val="0"/>
        <strike val="0"/>
        <condense val="0"/>
        <extend val="0"/>
        <outline val="0"/>
        <shadow val="0"/>
        <u val="none"/>
        <vertAlign val="baseline"/>
        <sz val="10"/>
        <color theme="1"/>
        <name val="Microsoft YaHei"/>
        <scheme val="none"/>
      </font>
      <fill>
        <patternFill patternType="solid">
          <fgColor indexed="64"/>
          <bgColor theme="4"/>
        </patternFill>
      </fill>
    </dxf>
    <dxf>
      <font>
        <b val="0"/>
        <i val="0"/>
        <strike val="0"/>
        <condense val="0"/>
        <extend val="0"/>
        <outline val="0"/>
        <shadow val="0"/>
        <u val="none"/>
        <vertAlign val="baseline"/>
        <sz val="10"/>
        <color theme="1"/>
        <name val="Microsoft YaHei"/>
        <scheme val="none"/>
      </font>
      <fill>
        <patternFill patternType="solid">
          <fgColor indexed="64"/>
          <bgColor theme="4"/>
        </patternFill>
      </fill>
    </dxf>
    <dxf>
      <numFmt numFmtId="1" formatCode="0"/>
    </dxf>
    <dxf>
      <numFmt numFmtId="1" formatCode="0"/>
    </dxf>
    <dxf>
      <fill>
        <patternFill patternType="solid">
          <fgColor indexed="64"/>
          <bgColor theme="4"/>
        </patternFill>
      </fill>
    </dxf>
    <dxf>
      <font>
        <b val="0"/>
        <i val="0"/>
        <strike val="0"/>
        <condense val="0"/>
        <extend val="0"/>
        <outline val="0"/>
        <shadow val="0"/>
        <u val="none"/>
        <vertAlign val="baseline"/>
        <sz val="10"/>
        <color theme="1"/>
        <name val="Microsoft YaHei"/>
        <scheme val="none"/>
      </font>
    </dxf>
    <dxf>
      <font>
        <b val="0"/>
        <i val="0"/>
        <strike val="0"/>
        <condense val="0"/>
        <extend val="0"/>
        <outline val="0"/>
        <shadow val="0"/>
        <u val="none"/>
        <vertAlign val="baseline"/>
        <sz val="9"/>
        <color theme="1"/>
        <name val="Microsoft YaHei"/>
        <scheme val="none"/>
      </font>
      <alignment horizontal="center" vertical="bottom" textRotation="0" wrapText="0" indent="0" justifyLastLine="0" shrinkToFit="0" readingOrder="0"/>
    </dxf>
    <dxf>
      <font>
        <strike val="0"/>
        <outline val="0"/>
        <shadow val="0"/>
        <u val="none"/>
        <vertAlign val="baseline"/>
        <sz val="9"/>
        <color theme="1"/>
        <name val="Microsoft YaHei"/>
        <scheme val="none"/>
      </font>
    </dxf>
    <dxf>
      <font>
        <strike val="0"/>
        <outline val="0"/>
        <shadow val="0"/>
        <u val="none"/>
        <vertAlign val="baseline"/>
        <sz val="9"/>
        <color theme="1"/>
        <name val="Microsoft YaHei"/>
        <scheme val="none"/>
      </font>
    </dxf>
  </dxfs>
  <tableStyles count="0" defaultTableStyle="TableStyleMedium2" defaultPivotStyle="PivotStyleLight16"/>
  <colors>
    <mruColors>
      <color rgb="FFFFD966"/>
      <color rgb="FFCC0000"/>
      <color rgb="FFFF5050"/>
      <color rgb="FFFFA3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microsoft.com/office/2007/relationships/slicerCache" Target="slicerCaches/slicerCache2.xml"/><Relationship Id="rId10" Type="http://schemas.openxmlformats.org/officeDocument/2006/relationships/powerPivotData" Target="model/item.data"/><Relationship Id="rId4" Type="http://schemas.microsoft.com/office/2007/relationships/slicerCache" Target="slicerCaches/slicerCache1.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fmlaLink="D6" lockText="1" noThreeD="1"/>
</file>

<file path=xl/ctrlProps/ctrlProp2.xml><?xml version="1.0" encoding="utf-8"?>
<formControlPr xmlns="http://schemas.microsoft.com/office/spreadsheetml/2009/9/main" objectType="CheckBox" fmlaLink="D7" lockText="1" noThreeD="1"/>
</file>

<file path=xl/ctrlProps/ctrlProp3.xml><?xml version="1.0" encoding="utf-8"?>
<formControlPr xmlns="http://schemas.microsoft.com/office/spreadsheetml/2009/9/main" objectType="CheckBox" fmlaLink="D8" lockText="1" noThreeD="1"/>
</file>

<file path=xl/ctrlProps/ctrlProp4.xml><?xml version="1.0" encoding="utf-8"?>
<formControlPr xmlns="http://schemas.microsoft.com/office/spreadsheetml/2009/9/main" objectType="CheckBox" fmlaLink="D9" lockText="1" noThreeD="1"/>
</file>

<file path=xl/ctrlProps/ctrlProp5.xml><?xml version="1.0" encoding="utf-8"?>
<formControlPr xmlns="http://schemas.microsoft.com/office/spreadsheetml/2009/9/main" objectType="CheckBox" fmlaLink="D12" lockText="1" noThreeD="1"/>
</file>

<file path=xl/ctrlProps/ctrlProp6.xml><?xml version="1.0" encoding="utf-8"?>
<formControlPr xmlns="http://schemas.microsoft.com/office/spreadsheetml/2009/9/main" objectType="CheckBox" fmlaLink="D13" lockText="1" noThreeD="1"/>
</file>

<file path=xl/ctrlProps/ctrlProp7.xml><?xml version="1.0" encoding="utf-8"?>
<formControlPr xmlns="http://schemas.microsoft.com/office/spreadsheetml/2009/9/main" objectType="CheckBox" fmlaLink="D14" lockText="1" noThreeD="1"/>
</file>

<file path=xl/ctrlProps/ctrlProp8.xml><?xml version="1.0" encoding="utf-8"?>
<formControlPr xmlns="http://schemas.microsoft.com/office/spreadsheetml/2009/9/main" objectType="CheckBox" fmlaLink="D15" lockText="1" noThreeD="1"/>
</file>

<file path=xl/ctrlProps/ctrlProp9.xml><?xml version="1.0" encoding="utf-8"?>
<formControlPr xmlns="http://schemas.microsoft.com/office/spreadsheetml/2009/9/main" objectType="CheckBox" fmlaLink="D18" lockText="1" noThreeD="1"/>
</file>

<file path=xl/ctrlProps/ctrlProp10.xml><?xml version="1.0" encoding="utf-8"?>
<formControlPr xmlns="http://schemas.microsoft.com/office/spreadsheetml/2009/9/main" objectType="CheckBox" fmlaLink="D19" lockText="1" noThreeD="1"/>
</file>

<file path=xl/ctrlProps/ctrlProp11.xml><?xml version="1.0" encoding="utf-8"?>
<formControlPr xmlns="http://schemas.microsoft.com/office/spreadsheetml/2009/9/main" objectType="CheckBox" fmlaLink="D20" lockText="1" noThreeD="1"/>
</file>

<file path=xl/ctrlProps/ctrlProp12.xml><?xml version="1.0" encoding="utf-8"?>
<formControlPr xmlns="http://schemas.microsoft.com/office/spreadsheetml/2009/9/main" objectType="CheckBox" fmlaLink="D21" lockText="1" noThreeD="1"/>
</file>

<file path=xl/ctrlProps/ctrlProp13.xml><?xml version="1.0" encoding="utf-8"?>
<formControlPr xmlns="http://schemas.microsoft.com/office/spreadsheetml/2009/9/main" objectType="CheckBox" fmlaLink="D24" lockText="1" noThreeD="1"/>
</file>

<file path=xl/ctrlProps/ctrlProp14.xml><?xml version="1.0" encoding="utf-8"?>
<formControlPr xmlns="http://schemas.microsoft.com/office/spreadsheetml/2009/9/main" objectType="CheckBox" fmlaLink="D25" lockText="1" noThreeD="1"/>
</file>

<file path=xl/ctrlProps/ctrlProp15.xml><?xml version="1.0" encoding="utf-8"?>
<formControlPr xmlns="http://schemas.microsoft.com/office/spreadsheetml/2009/9/main" objectType="CheckBox" fmlaLink="D26" lockText="1" noThreeD="1"/>
</file>

<file path=xl/ctrlProps/ctrlProp16.xml><?xml version="1.0" encoding="utf-8"?>
<formControlPr xmlns="http://schemas.microsoft.com/office/spreadsheetml/2009/9/main" objectType="CheckBox" fmlaLink="D27" lockText="1" noThreeD="1"/>
</file>

<file path=xl/ctrlProps/ctrlProp17.xml><?xml version="1.0" encoding="utf-8"?>
<formControlPr xmlns="http://schemas.microsoft.com/office/spreadsheetml/2009/9/main" objectType="CheckBox" fmlaLink="D30" lockText="1" noThreeD="1"/>
</file>

<file path=xl/ctrlProps/ctrlProp18.xml><?xml version="1.0" encoding="utf-8"?>
<formControlPr xmlns="http://schemas.microsoft.com/office/spreadsheetml/2009/9/main" objectType="CheckBox" fmlaLink="D31" lockText="1" noThreeD="1"/>
</file>

<file path=xl/ctrlProps/ctrlProp19.xml><?xml version="1.0" encoding="utf-8"?>
<formControlPr xmlns="http://schemas.microsoft.com/office/spreadsheetml/2009/9/main" objectType="CheckBox" fmlaLink="D32" lockText="1" noThreeD="1"/>
</file>

<file path=xl/ctrlProps/ctrlProp20.xml><?xml version="1.0" encoding="utf-8"?>
<formControlPr xmlns="http://schemas.microsoft.com/office/spreadsheetml/2009/9/main" objectType="CheckBox" fmlaLink="$G$17" lockText="1" noThreeD="1"/>
</file>

<file path=xl/ctrlProps/ctrlProp21.xml><?xml version="1.0" encoding="utf-8"?>
<formControlPr xmlns="http://schemas.microsoft.com/office/spreadsheetml/2009/9/main" objectType="CheckBox" fmlaLink="$G$13" lockText="1" noThreeD="1"/>
</file>

<file path=xl/ctrlProps/ctrlProp22.xml><?xml version="1.0" encoding="utf-8"?>
<formControlPr xmlns="http://schemas.microsoft.com/office/spreadsheetml/2009/9/main" objectType="CheckBox" checked="Checked" fmlaLink="$G$20"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33.emf"/><Relationship Id="rId13" Type="http://schemas.openxmlformats.org/officeDocument/2006/relationships/image" Target="../media/image28.emf"/><Relationship Id="rId18" Type="http://schemas.openxmlformats.org/officeDocument/2006/relationships/image" Target="../media/image23.emf"/><Relationship Id="rId26" Type="http://schemas.openxmlformats.org/officeDocument/2006/relationships/image" Target="../media/image15.emf"/><Relationship Id="rId39" Type="http://schemas.openxmlformats.org/officeDocument/2006/relationships/image" Target="../media/image2.emf"/><Relationship Id="rId3" Type="http://schemas.openxmlformats.org/officeDocument/2006/relationships/image" Target="../media/image38.emf"/><Relationship Id="rId21" Type="http://schemas.openxmlformats.org/officeDocument/2006/relationships/image" Target="../media/image20.emf"/><Relationship Id="rId34" Type="http://schemas.openxmlformats.org/officeDocument/2006/relationships/image" Target="../media/image7.emf"/><Relationship Id="rId7" Type="http://schemas.openxmlformats.org/officeDocument/2006/relationships/image" Target="../media/image34.emf"/><Relationship Id="rId12" Type="http://schemas.openxmlformats.org/officeDocument/2006/relationships/image" Target="../media/image29.emf"/><Relationship Id="rId17" Type="http://schemas.openxmlformats.org/officeDocument/2006/relationships/image" Target="../media/image24.emf"/><Relationship Id="rId25" Type="http://schemas.openxmlformats.org/officeDocument/2006/relationships/image" Target="../media/image16.emf"/><Relationship Id="rId33" Type="http://schemas.openxmlformats.org/officeDocument/2006/relationships/image" Target="../media/image8.emf"/><Relationship Id="rId38" Type="http://schemas.openxmlformats.org/officeDocument/2006/relationships/image" Target="../media/image3.emf"/><Relationship Id="rId2" Type="http://schemas.openxmlformats.org/officeDocument/2006/relationships/image" Target="../media/image39.emf"/><Relationship Id="rId16" Type="http://schemas.openxmlformats.org/officeDocument/2006/relationships/image" Target="../media/image25.emf"/><Relationship Id="rId20" Type="http://schemas.openxmlformats.org/officeDocument/2006/relationships/image" Target="../media/image21.emf"/><Relationship Id="rId29" Type="http://schemas.openxmlformats.org/officeDocument/2006/relationships/image" Target="../media/image12.emf"/><Relationship Id="rId41" Type="http://schemas.openxmlformats.org/officeDocument/2006/relationships/image" Target="../media/image42.emf"/><Relationship Id="rId1" Type="http://schemas.openxmlformats.org/officeDocument/2006/relationships/image" Target="../media/image40.emf"/><Relationship Id="rId6" Type="http://schemas.openxmlformats.org/officeDocument/2006/relationships/image" Target="../media/image35.emf"/><Relationship Id="rId11" Type="http://schemas.openxmlformats.org/officeDocument/2006/relationships/image" Target="../media/image30.emf"/><Relationship Id="rId24" Type="http://schemas.openxmlformats.org/officeDocument/2006/relationships/image" Target="../media/image17.emf"/><Relationship Id="rId32" Type="http://schemas.openxmlformats.org/officeDocument/2006/relationships/image" Target="../media/image9.emf"/><Relationship Id="rId37" Type="http://schemas.openxmlformats.org/officeDocument/2006/relationships/image" Target="../media/image4.emf"/><Relationship Id="rId40" Type="http://schemas.openxmlformats.org/officeDocument/2006/relationships/image" Target="../media/image41.emf"/><Relationship Id="rId5" Type="http://schemas.openxmlformats.org/officeDocument/2006/relationships/image" Target="../media/image36.emf"/><Relationship Id="rId15" Type="http://schemas.openxmlformats.org/officeDocument/2006/relationships/image" Target="../media/image26.emf"/><Relationship Id="rId23" Type="http://schemas.openxmlformats.org/officeDocument/2006/relationships/image" Target="../media/image18.emf"/><Relationship Id="rId28" Type="http://schemas.openxmlformats.org/officeDocument/2006/relationships/image" Target="../media/image13.emf"/><Relationship Id="rId36" Type="http://schemas.openxmlformats.org/officeDocument/2006/relationships/image" Target="../media/image5.emf"/><Relationship Id="rId10" Type="http://schemas.openxmlformats.org/officeDocument/2006/relationships/image" Target="../media/image31.emf"/><Relationship Id="rId19" Type="http://schemas.openxmlformats.org/officeDocument/2006/relationships/image" Target="../media/image22.emf"/><Relationship Id="rId31" Type="http://schemas.openxmlformats.org/officeDocument/2006/relationships/image" Target="../media/image10.emf"/><Relationship Id="rId4" Type="http://schemas.openxmlformats.org/officeDocument/2006/relationships/image" Target="../media/image37.emf"/><Relationship Id="rId9" Type="http://schemas.openxmlformats.org/officeDocument/2006/relationships/image" Target="../media/image32.emf"/><Relationship Id="rId14" Type="http://schemas.openxmlformats.org/officeDocument/2006/relationships/image" Target="../media/image27.emf"/><Relationship Id="rId22" Type="http://schemas.openxmlformats.org/officeDocument/2006/relationships/image" Target="../media/image19.emf"/><Relationship Id="rId27" Type="http://schemas.openxmlformats.org/officeDocument/2006/relationships/image" Target="../media/image14.emf"/><Relationship Id="rId30" Type="http://schemas.openxmlformats.org/officeDocument/2006/relationships/image" Target="../media/image11.emf"/><Relationship Id="rId35"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absolute">
    <xdr:from>
      <xdr:col>26</xdr:col>
      <xdr:colOff>57610</xdr:colOff>
      <xdr:row>42</xdr:row>
      <xdr:rowOff>12809</xdr:rowOff>
    </xdr:from>
    <xdr:to>
      <xdr:col>29</xdr:col>
      <xdr:colOff>601735</xdr:colOff>
      <xdr:row>51</xdr:row>
      <xdr:rowOff>68036</xdr:rowOff>
    </xdr:to>
    <mc:AlternateContent xmlns:mc="http://schemas.openxmlformats.org/markup-compatibility/2006" xmlns:sle15="http://schemas.microsoft.com/office/drawing/2012/slicer">
      <mc:Choice Requires="sle15">
        <xdr:graphicFrame macro="">
          <xdr:nvGraphicFramePr>
            <xdr:cNvPr id="2" name="Position"/>
            <xdr:cNvGraphicFramePr/>
          </xdr:nvGraphicFramePr>
          <xdr:xfrm>
            <a:off x="0" y="0"/>
            <a:ext cx="0" cy="0"/>
          </xdr:xfrm>
          <a:graphic>
            <a:graphicData uri="http://schemas.microsoft.com/office/drawing/2010/slicer">
              <sle:slicer xmlns:sle="http://schemas.microsoft.com/office/drawing/2010/slicer" name="Position"/>
            </a:graphicData>
          </a:graphic>
        </xdr:graphicFrame>
      </mc:Choice>
      <mc:Fallback xmlns="">
        <xdr:sp macro="" textlink="">
          <xdr:nvSpPr>
            <xdr:cNvPr id="0" name=""/>
            <xdr:cNvSpPr>
              <a:spLocks noTextEdit="1"/>
            </xdr:cNvSpPr>
          </xdr:nvSpPr>
          <xdr:spPr>
            <a:xfrm>
              <a:off x="18386431" y="8027416"/>
              <a:ext cx="1850411" cy="176972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26</xdr:col>
      <xdr:colOff>63912</xdr:colOff>
      <xdr:row>16</xdr:row>
      <xdr:rowOff>109797</xdr:rowOff>
    </xdr:from>
    <xdr:to>
      <xdr:col>29</xdr:col>
      <xdr:colOff>601734</xdr:colOff>
      <xdr:row>41</xdr:row>
      <xdr:rowOff>190499</xdr:rowOff>
    </xdr:to>
    <mc:AlternateContent xmlns:mc="http://schemas.openxmlformats.org/markup-compatibility/2006" xmlns:sle15="http://schemas.microsoft.com/office/drawing/2012/slicer">
      <mc:Choice Requires="sle15">
        <xdr:graphicFrame macro="">
          <xdr:nvGraphicFramePr>
            <xdr:cNvPr id="3" name="Leader"/>
            <xdr:cNvGraphicFramePr/>
          </xdr:nvGraphicFramePr>
          <xdr:xfrm>
            <a:off x="0" y="0"/>
            <a:ext cx="0" cy="0"/>
          </xdr:xfrm>
          <a:graphic>
            <a:graphicData uri="http://schemas.microsoft.com/office/drawing/2010/slicer">
              <sle:slicer xmlns:sle="http://schemas.microsoft.com/office/drawing/2010/slicer" name="Leader"/>
            </a:graphicData>
          </a:graphic>
        </xdr:graphicFrame>
      </mc:Choice>
      <mc:Fallback xmlns="">
        <xdr:sp macro="" textlink="">
          <xdr:nvSpPr>
            <xdr:cNvPr id="0" name=""/>
            <xdr:cNvSpPr>
              <a:spLocks noTextEdit="1"/>
            </xdr:cNvSpPr>
          </xdr:nvSpPr>
          <xdr:spPr>
            <a:xfrm>
              <a:off x="18392733" y="3171404"/>
              <a:ext cx="1844108" cy="484320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27</xdr:col>
          <xdr:colOff>76200</xdr:colOff>
          <xdr:row>1</xdr:row>
          <xdr:rowOff>95250</xdr:rowOff>
        </xdr:from>
        <xdr:to>
          <xdr:col>29</xdr:col>
          <xdr:colOff>485775</xdr:colOff>
          <xdr:row>3</xdr:row>
          <xdr:rowOff>85725</xdr:rowOff>
        </xdr:to>
        <xdr:sp macro="" textlink="">
          <xdr:nvSpPr>
            <xdr:cNvPr id="1025" name="InputSchedule" hidden="1">
              <a:extLst>
                <a:ext uri="{63B3BB69-23CF-44E3-9099-C40C66FF867C}">
                  <a14:compatExt spid="_x0000_s10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27</xdr:col>
      <xdr:colOff>84364</xdr:colOff>
      <xdr:row>4</xdr:row>
      <xdr:rowOff>95250</xdr:rowOff>
    </xdr:from>
    <xdr:to>
      <xdr:col>27</xdr:col>
      <xdr:colOff>544286</xdr:colOff>
      <xdr:row>6</xdr:row>
      <xdr:rowOff>95250</xdr:rowOff>
    </xdr:to>
    <xdr:sp macro="" textlink="">
      <xdr:nvSpPr>
        <xdr:cNvPr id="4" name="Rectangle 3"/>
        <xdr:cNvSpPr/>
      </xdr:nvSpPr>
      <xdr:spPr>
        <a:xfrm>
          <a:off x="18494828" y="870857"/>
          <a:ext cx="459922" cy="381000"/>
        </a:xfrm>
        <a:prstGeom prst="rect">
          <a:avLst/>
        </a:prstGeom>
        <a:pattFill prst="pct50">
          <a:fgClr>
            <a:srgbClr val="FFD966"/>
          </a:fgClr>
          <a:bgClr>
            <a:schemeClr val="bg1"/>
          </a:bgClr>
        </a:patt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27</xdr:col>
      <xdr:colOff>84364</xdr:colOff>
      <xdr:row>7</xdr:row>
      <xdr:rowOff>95250</xdr:rowOff>
    </xdr:from>
    <xdr:to>
      <xdr:col>27</xdr:col>
      <xdr:colOff>544286</xdr:colOff>
      <xdr:row>9</xdr:row>
      <xdr:rowOff>95250</xdr:rowOff>
    </xdr:to>
    <xdr:sp macro="" textlink="">
      <xdr:nvSpPr>
        <xdr:cNvPr id="6" name="Rectangle 5"/>
        <xdr:cNvSpPr/>
      </xdr:nvSpPr>
      <xdr:spPr>
        <a:xfrm>
          <a:off x="18494828" y="870857"/>
          <a:ext cx="459922" cy="381000"/>
        </a:xfrm>
        <a:prstGeom prst="rect">
          <a:avLst/>
        </a:prstGeom>
        <a:pattFill prst="pct60">
          <a:fgClr>
            <a:schemeClr val="bg1">
              <a:lumMod val="85000"/>
            </a:schemeClr>
          </a:fgClr>
          <a:bgClr>
            <a:schemeClr val="bg1">
              <a:lumMod val="65000"/>
            </a:schemeClr>
          </a:bgClr>
        </a:patt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238125</xdr:colOff>
          <xdr:row>5</xdr:row>
          <xdr:rowOff>38100</xdr:rowOff>
        </xdr:from>
        <xdr:to>
          <xdr:col>2</xdr:col>
          <xdr:colOff>371475</xdr:colOff>
          <xdr:row>5</xdr:row>
          <xdr:rowOff>180975</xdr:rowOff>
        </xdr:to>
        <xdr:sp macro="" textlink="">
          <xdr:nvSpPr>
            <xdr:cNvPr id="2050" name="Open_Se"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6</xdr:row>
          <xdr:rowOff>28575</xdr:rowOff>
        </xdr:from>
        <xdr:to>
          <xdr:col>2</xdr:col>
          <xdr:colOff>371475</xdr:colOff>
          <xdr:row>6</xdr:row>
          <xdr:rowOff>171450</xdr:rowOff>
        </xdr:to>
        <xdr:sp macro="" textlink="">
          <xdr:nvSpPr>
            <xdr:cNvPr id="2051" name="open_s1"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7</xdr:row>
          <xdr:rowOff>38100</xdr:rowOff>
        </xdr:from>
        <xdr:to>
          <xdr:col>2</xdr:col>
          <xdr:colOff>371475</xdr:colOff>
          <xdr:row>7</xdr:row>
          <xdr:rowOff>180975</xdr:rowOff>
        </xdr:to>
        <xdr:sp macro="" textlink="">
          <xdr:nvSpPr>
            <xdr:cNvPr id="2052" name="Open_S2"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8</xdr:row>
          <xdr:rowOff>28575</xdr:rowOff>
        </xdr:from>
        <xdr:to>
          <xdr:col>2</xdr:col>
          <xdr:colOff>371475</xdr:colOff>
          <xdr:row>8</xdr:row>
          <xdr:rowOff>171450</xdr:rowOff>
        </xdr:to>
        <xdr:sp macro="" textlink="">
          <xdr:nvSpPr>
            <xdr:cNvPr id="2053" name="Open_Sp"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5</xdr:row>
          <xdr:rowOff>38100</xdr:rowOff>
        </xdr:from>
        <xdr:to>
          <xdr:col>4</xdr:col>
          <xdr:colOff>371475</xdr:colOff>
          <xdr:row>5</xdr:row>
          <xdr:rowOff>180975</xdr:rowOff>
        </xdr:to>
        <xdr:sp macro="" textlink="">
          <xdr:nvSpPr>
            <xdr:cNvPr id="2064" name="OtherEvent_Se"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6</xdr:row>
          <xdr:rowOff>28575</xdr:rowOff>
        </xdr:from>
        <xdr:to>
          <xdr:col>4</xdr:col>
          <xdr:colOff>371475</xdr:colOff>
          <xdr:row>6</xdr:row>
          <xdr:rowOff>171450</xdr:rowOff>
        </xdr:to>
        <xdr:sp macro="" textlink="">
          <xdr:nvSpPr>
            <xdr:cNvPr id="2065" name="OtherEvent_S1"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7</xdr:row>
          <xdr:rowOff>38100</xdr:rowOff>
        </xdr:from>
        <xdr:to>
          <xdr:col>4</xdr:col>
          <xdr:colOff>371475</xdr:colOff>
          <xdr:row>7</xdr:row>
          <xdr:rowOff>180975</xdr:rowOff>
        </xdr:to>
        <xdr:sp macro="" textlink="">
          <xdr:nvSpPr>
            <xdr:cNvPr id="2066" name="OtherEvent_S2"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8</xdr:row>
          <xdr:rowOff>28575</xdr:rowOff>
        </xdr:from>
        <xdr:to>
          <xdr:col>4</xdr:col>
          <xdr:colOff>371475</xdr:colOff>
          <xdr:row>8</xdr:row>
          <xdr:rowOff>171450</xdr:rowOff>
        </xdr:to>
        <xdr:sp macro="" textlink="">
          <xdr:nvSpPr>
            <xdr:cNvPr id="2067" name="OtherEvent_Sp"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11</xdr:row>
          <xdr:rowOff>38100</xdr:rowOff>
        </xdr:from>
        <xdr:to>
          <xdr:col>2</xdr:col>
          <xdr:colOff>371475</xdr:colOff>
          <xdr:row>11</xdr:row>
          <xdr:rowOff>180975</xdr:rowOff>
        </xdr:to>
        <xdr:sp macro="" textlink="">
          <xdr:nvSpPr>
            <xdr:cNvPr id="2068" name="Open_Te"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28575</xdr:rowOff>
        </xdr:from>
        <xdr:to>
          <xdr:col>2</xdr:col>
          <xdr:colOff>371475</xdr:colOff>
          <xdr:row>12</xdr:row>
          <xdr:rowOff>171450</xdr:rowOff>
        </xdr:to>
        <xdr:sp macro="" textlink="">
          <xdr:nvSpPr>
            <xdr:cNvPr id="2069" name="Open_T1"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13</xdr:row>
          <xdr:rowOff>38100</xdr:rowOff>
        </xdr:from>
        <xdr:to>
          <xdr:col>2</xdr:col>
          <xdr:colOff>371475</xdr:colOff>
          <xdr:row>13</xdr:row>
          <xdr:rowOff>180975</xdr:rowOff>
        </xdr:to>
        <xdr:sp macro="" textlink="">
          <xdr:nvSpPr>
            <xdr:cNvPr id="2070" name="Open_T2"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14</xdr:row>
          <xdr:rowOff>28575</xdr:rowOff>
        </xdr:from>
        <xdr:to>
          <xdr:col>2</xdr:col>
          <xdr:colOff>371475</xdr:colOff>
          <xdr:row>14</xdr:row>
          <xdr:rowOff>171450</xdr:rowOff>
        </xdr:to>
        <xdr:sp macro="" textlink="">
          <xdr:nvSpPr>
            <xdr:cNvPr id="2071" name="Open_Tp"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11</xdr:row>
          <xdr:rowOff>38100</xdr:rowOff>
        </xdr:from>
        <xdr:to>
          <xdr:col>4</xdr:col>
          <xdr:colOff>371475</xdr:colOff>
          <xdr:row>11</xdr:row>
          <xdr:rowOff>180975</xdr:rowOff>
        </xdr:to>
        <xdr:sp macro="" textlink="">
          <xdr:nvSpPr>
            <xdr:cNvPr id="2076" name="OtherEvent_Te"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12</xdr:row>
          <xdr:rowOff>28575</xdr:rowOff>
        </xdr:from>
        <xdr:to>
          <xdr:col>4</xdr:col>
          <xdr:colOff>371475</xdr:colOff>
          <xdr:row>12</xdr:row>
          <xdr:rowOff>171450</xdr:rowOff>
        </xdr:to>
        <xdr:sp macro="" textlink="">
          <xdr:nvSpPr>
            <xdr:cNvPr id="2077" name="OtherEvent_T1"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13</xdr:row>
          <xdr:rowOff>38100</xdr:rowOff>
        </xdr:from>
        <xdr:to>
          <xdr:col>4</xdr:col>
          <xdr:colOff>371475</xdr:colOff>
          <xdr:row>13</xdr:row>
          <xdr:rowOff>180975</xdr:rowOff>
        </xdr:to>
        <xdr:sp macro="" textlink="">
          <xdr:nvSpPr>
            <xdr:cNvPr id="2078" name="OtherEvent_T2"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14</xdr:row>
          <xdr:rowOff>28575</xdr:rowOff>
        </xdr:from>
        <xdr:to>
          <xdr:col>4</xdr:col>
          <xdr:colOff>371475</xdr:colOff>
          <xdr:row>14</xdr:row>
          <xdr:rowOff>171450</xdr:rowOff>
        </xdr:to>
        <xdr:sp macro="" textlink="">
          <xdr:nvSpPr>
            <xdr:cNvPr id="2079" name="OtherEvent_Tp"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17</xdr:row>
          <xdr:rowOff>38100</xdr:rowOff>
        </xdr:from>
        <xdr:to>
          <xdr:col>2</xdr:col>
          <xdr:colOff>371475</xdr:colOff>
          <xdr:row>17</xdr:row>
          <xdr:rowOff>180975</xdr:rowOff>
        </xdr:to>
        <xdr:sp macro="" textlink="">
          <xdr:nvSpPr>
            <xdr:cNvPr id="2080" name="Open_We"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18</xdr:row>
          <xdr:rowOff>28575</xdr:rowOff>
        </xdr:from>
        <xdr:to>
          <xdr:col>2</xdr:col>
          <xdr:colOff>371475</xdr:colOff>
          <xdr:row>18</xdr:row>
          <xdr:rowOff>171450</xdr:rowOff>
        </xdr:to>
        <xdr:sp macro="" textlink="">
          <xdr:nvSpPr>
            <xdr:cNvPr id="2081" name="Open_W1"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19</xdr:row>
          <xdr:rowOff>38100</xdr:rowOff>
        </xdr:from>
        <xdr:to>
          <xdr:col>2</xdr:col>
          <xdr:colOff>371475</xdr:colOff>
          <xdr:row>19</xdr:row>
          <xdr:rowOff>180975</xdr:rowOff>
        </xdr:to>
        <xdr:sp macro="" textlink="">
          <xdr:nvSpPr>
            <xdr:cNvPr id="2082" name="Open_W2"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20</xdr:row>
          <xdr:rowOff>28575</xdr:rowOff>
        </xdr:from>
        <xdr:to>
          <xdr:col>2</xdr:col>
          <xdr:colOff>371475</xdr:colOff>
          <xdr:row>20</xdr:row>
          <xdr:rowOff>171450</xdr:rowOff>
        </xdr:to>
        <xdr:sp macro="" textlink="">
          <xdr:nvSpPr>
            <xdr:cNvPr id="2083" name="Open_Wp"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17</xdr:row>
          <xdr:rowOff>38100</xdr:rowOff>
        </xdr:from>
        <xdr:to>
          <xdr:col>4</xdr:col>
          <xdr:colOff>371475</xdr:colOff>
          <xdr:row>17</xdr:row>
          <xdr:rowOff>180975</xdr:rowOff>
        </xdr:to>
        <xdr:sp macro="" textlink="">
          <xdr:nvSpPr>
            <xdr:cNvPr id="2088" name="OtherEvent_We"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18</xdr:row>
          <xdr:rowOff>28575</xdr:rowOff>
        </xdr:from>
        <xdr:to>
          <xdr:col>4</xdr:col>
          <xdr:colOff>371475</xdr:colOff>
          <xdr:row>18</xdr:row>
          <xdr:rowOff>171450</xdr:rowOff>
        </xdr:to>
        <xdr:sp macro="" textlink="">
          <xdr:nvSpPr>
            <xdr:cNvPr id="2089" name="OtherEvent_W1" hidden="1">
              <a:extLst>
                <a:ext uri="{63B3BB69-23CF-44E3-9099-C40C66FF867C}">
                  <a14:compatExt spid="_x0000_s20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19</xdr:row>
          <xdr:rowOff>38100</xdr:rowOff>
        </xdr:from>
        <xdr:to>
          <xdr:col>4</xdr:col>
          <xdr:colOff>371475</xdr:colOff>
          <xdr:row>19</xdr:row>
          <xdr:rowOff>180975</xdr:rowOff>
        </xdr:to>
        <xdr:sp macro="" textlink="">
          <xdr:nvSpPr>
            <xdr:cNvPr id="2090" name="OtherEvent_W2" hidden="1">
              <a:extLst>
                <a:ext uri="{63B3BB69-23CF-44E3-9099-C40C66FF867C}">
                  <a14:compatExt spid="_x0000_s2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20</xdr:row>
          <xdr:rowOff>28575</xdr:rowOff>
        </xdr:from>
        <xdr:to>
          <xdr:col>4</xdr:col>
          <xdr:colOff>371475</xdr:colOff>
          <xdr:row>20</xdr:row>
          <xdr:rowOff>171450</xdr:rowOff>
        </xdr:to>
        <xdr:sp macro="" textlink="">
          <xdr:nvSpPr>
            <xdr:cNvPr id="2091" name="OtherEvent_Wp" hidden="1">
              <a:extLst>
                <a:ext uri="{63B3BB69-23CF-44E3-9099-C40C66FF867C}">
                  <a14:compatExt spid="_x0000_s20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23</xdr:row>
          <xdr:rowOff>38100</xdr:rowOff>
        </xdr:from>
        <xdr:to>
          <xdr:col>2</xdr:col>
          <xdr:colOff>371475</xdr:colOff>
          <xdr:row>23</xdr:row>
          <xdr:rowOff>180975</xdr:rowOff>
        </xdr:to>
        <xdr:sp macro="" textlink="">
          <xdr:nvSpPr>
            <xdr:cNvPr id="2092" name="Open_The" hidden="1">
              <a:extLst>
                <a:ext uri="{63B3BB69-23CF-44E3-9099-C40C66FF867C}">
                  <a14:compatExt spid="_x0000_s20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24</xdr:row>
          <xdr:rowOff>28575</xdr:rowOff>
        </xdr:from>
        <xdr:to>
          <xdr:col>2</xdr:col>
          <xdr:colOff>371475</xdr:colOff>
          <xdr:row>24</xdr:row>
          <xdr:rowOff>171450</xdr:rowOff>
        </xdr:to>
        <xdr:sp macro="" textlink="">
          <xdr:nvSpPr>
            <xdr:cNvPr id="2093" name="Open_Th1" hidden="1">
              <a:extLst>
                <a:ext uri="{63B3BB69-23CF-44E3-9099-C40C66FF867C}">
                  <a14:compatExt spid="_x0000_s2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25</xdr:row>
          <xdr:rowOff>38100</xdr:rowOff>
        </xdr:from>
        <xdr:to>
          <xdr:col>2</xdr:col>
          <xdr:colOff>371475</xdr:colOff>
          <xdr:row>25</xdr:row>
          <xdr:rowOff>180975</xdr:rowOff>
        </xdr:to>
        <xdr:sp macro="" textlink="">
          <xdr:nvSpPr>
            <xdr:cNvPr id="2094" name="Open_Th2" hidden="1">
              <a:extLst>
                <a:ext uri="{63B3BB69-23CF-44E3-9099-C40C66FF867C}">
                  <a14:compatExt spid="_x0000_s2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26</xdr:row>
          <xdr:rowOff>28575</xdr:rowOff>
        </xdr:from>
        <xdr:to>
          <xdr:col>2</xdr:col>
          <xdr:colOff>371475</xdr:colOff>
          <xdr:row>26</xdr:row>
          <xdr:rowOff>171450</xdr:rowOff>
        </xdr:to>
        <xdr:sp macro="" textlink="">
          <xdr:nvSpPr>
            <xdr:cNvPr id="2095" name="Open_Thp" hidden="1">
              <a:extLst>
                <a:ext uri="{63B3BB69-23CF-44E3-9099-C40C66FF867C}">
                  <a14:compatExt spid="_x0000_s2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23</xdr:row>
          <xdr:rowOff>38100</xdr:rowOff>
        </xdr:from>
        <xdr:to>
          <xdr:col>4</xdr:col>
          <xdr:colOff>371475</xdr:colOff>
          <xdr:row>23</xdr:row>
          <xdr:rowOff>180975</xdr:rowOff>
        </xdr:to>
        <xdr:sp macro="" textlink="">
          <xdr:nvSpPr>
            <xdr:cNvPr id="2100" name="OtherEvent_The" hidden="1">
              <a:extLst>
                <a:ext uri="{63B3BB69-23CF-44E3-9099-C40C66FF867C}">
                  <a14:compatExt spid="_x0000_s2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24</xdr:row>
          <xdr:rowOff>28575</xdr:rowOff>
        </xdr:from>
        <xdr:to>
          <xdr:col>4</xdr:col>
          <xdr:colOff>371475</xdr:colOff>
          <xdr:row>24</xdr:row>
          <xdr:rowOff>171450</xdr:rowOff>
        </xdr:to>
        <xdr:sp macro="" textlink="">
          <xdr:nvSpPr>
            <xdr:cNvPr id="2101" name="OtherEvent_Th1" hidden="1">
              <a:extLst>
                <a:ext uri="{63B3BB69-23CF-44E3-9099-C40C66FF867C}">
                  <a14:compatExt spid="_x0000_s2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25</xdr:row>
          <xdr:rowOff>38100</xdr:rowOff>
        </xdr:from>
        <xdr:to>
          <xdr:col>4</xdr:col>
          <xdr:colOff>371475</xdr:colOff>
          <xdr:row>25</xdr:row>
          <xdr:rowOff>180975</xdr:rowOff>
        </xdr:to>
        <xdr:sp macro="" textlink="">
          <xdr:nvSpPr>
            <xdr:cNvPr id="2102" name="OtherEvent_Th2" hidden="1">
              <a:extLst>
                <a:ext uri="{63B3BB69-23CF-44E3-9099-C40C66FF867C}">
                  <a14:compatExt spid="_x0000_s21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26</xdr:row>
          <xdr:rowOff>28575</xdr:rowOff>
        </xdr:from>
        <xdr:to>
          <xdr:col>4</xdr:col>
          <xdr:colOff>371475</xdr:colOff>
          <xdr:row>26</xdr:row>
          <xdr:rowOff>171450</xdr:rowOff>
        </xdr:to>
        <xdr:sp macro="" textlink="">
          <xdr:nvSpPr>
            <xdr:cNvPr id="2103" name="OtherEvent_Thp" hidden="1">
              <a:extLst>
                <a:ext uri="{63B3BB69-23CF-44E3-9099-C40C66FF867C}">
                  <a14:compatExt spid="_x0000_s21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29</xdr:row>
          <xdr:rowOff>38100</xdr:rowOff>
        </xdr:from>
        <xdr:to>
          <xdr:col>2</xdr:col>
          <xdr:colOff>371475</xdr:colOff>
          <xdr:row>29</xdr:row>
          <xdr:rowOff>180975</xdr:rowOff>
        </xdr:to>
        <xdr:sp macro="" textlink="">
          <xdr:nvSpPr>
            <xdr:cNvPr id="2104" name="Open_Fe" hidden="1">
              <a:extLst>
                <a:ext uri="{63B3BB69-23CF-44E3-9099-C40C66FF867C}">
                  <a14:compatExt spid="_x0000_s21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30</xdr:row>
          <xdr:rowOff>28575</xdr:rowOff>
        </xdr:from>
        <xdr:to>
          <xdr:col>2</xdr:col>
          <xdr:colOff>371475</xdr:colOff>
          <xdr:row>30</xdr:row>
          <xdr:rowOff>171450</xdr:rowOff>
        </xdr:to>
        <xdr:sp macro="" textlink="">
          <xdr:nvSpPr>
            <xdr:cNvPr id="2105" name="Open_F1" hidden="1">
              <a:extLst>
                <a:ext uri="{63B3BB69-23CF-44E3-9099-C40C66FF867C}">
                  <a14:compatExt spid="_x0000_s2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31</xdr:row>
          <xdr:rowOff>38100</xdr:rowOff>
        </xdr:from>
        <xdr:to>
          <xdr:col>2</xdr:col>
          <xdr:colOff>371475</xdr:colOff>
          <xdr:row>31</xdr:row>
          <xdr:rowOff>180975</xdr:rowOff>
        </xdr:to>
        <xdr:sp macro="" textlink="">
          <xdr:nvSpPr>
            <xdr:cNvPr id="2106" name="Open_F2" hidden="1">
              <a:extLst>
                <a:ext uri="{63B3BB69-23CF-44E3-9099-C40C66FF867C}">
                  <a14:compatExt spid="_x0000_s2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29</xdr:row>
          <xdr:rowOff>38100</xdr:rowOff>
        </xdr:from>
        <xdr:to>
          <xdr:col>4</xdr:col>
          <xdr:colOff>371475</xdr:colOff>
          <xdr:row>29</xdr:row>
          <xdr:rowOff>180975</xdr:rowOff>
        </xdr:to>
        <xdr:sp macro="" textlink="">
          <xdr:nvSpPr>
            <xdr:cNvPr id="2112" name="OtherEvent_Fe" hidden="1">
              <a:extLst>
                <a:ext uri="{63B3BB69-23CF-44E3-9099-C40C66FF867C}">
                  <a14:compatExt spid="_x0000_s21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30</xdr:row>
          <xdr:rowOff>28575</xdr:rowOff>
        </xdr:from>
        <xdr:to>
          <xdr:col>4</xdr:col>
          <xdr:colOff>371475</xdr:colOff>
          <xdr:row>30</xdr:row>
          <xdr:rowOff>171450</xdr:rowOff>
        </xdr:to>
        <xdr:sp macro="" textlink="">
          <xdr:nvSpPr>
            <xdr:cNvPr id="2113" name="OtherEvent_F1"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31</xdr:row>
          <xdr:rowOff>38100</xdr:rowOff>
        </xdr:from>
        <xdr:to>
          <xdr:col>4</xdr:col>
          <xdr:colOff>371475</xdr:colOff>
          <xdr:row>31</xdr:row>
          <xdr:rowOff>180975</xdr:rowOff>
        </xdr:to>
        <xdr:sp macro="" textlink="">
          <xdr:nvSpPr>
            <xdr:cNvPr id="2114" name="OtherEvent_F2" hidden="1">
              <a:extLst>
                <a:ext uri="{63B3BB69-23CF-44E3-9099-C40C66FF867C}">
                  <a14:compatExt spid="_x0000_s21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4</xdr:row>
          <xdr:rowOff>190500</xdr:rowOff>
        </xdr:from>
        <xdr:to>
          <xdr:col>3</xdr:col>
          <xdr:colOff>371475</xdr:colOff>
          <xdr:row>5</xdr:row>
          <xdr:rowOff>180975</xdr:rowOff>
        </xdr:to>
        <xdr:sp macro="" textlink="">
          <xdr:nvSpPr>
            <xdr:cNvPr id="2116" name="Check Box 68" hidden="1">
              <a:extLst>
                <a:ext uri="{63B3BB69-23CF-44E3-9099-C40C66FF867C}">
                  <a14:compatExt spid="_x0000_s21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6</xdr:row>
          <xdr:rowOff>0</xdr:rowOff>
        </xdr:from>
        <xdr:to>
          <xdr:col>3</xdr:col>
          <xdr:colOff>371475</xdr:colOff>
          <xdr:row>6</xdr:row>
          <xdr:rowOff>180975</xdr:rowOff>
        </xdr:to>
        <xdr:sp macro="" textlink="">
          <xdr:nvSpPr>
            <xdr:cNvPr id="2117" name="Check Box 69" hidden="1">
              <a:extLst>
                <a:ext uri="{63B3BB69-23CF-44E3-9099-C40C66FF867C}">
                  <a14:compatExt spid="_x0000_s21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7</xdr:row>
          <xdr:rowOff>0</xdr:rowOff>
        </xdr:from>
        <xdr:to>
          <xdr:col>3</xdr:col>
          <xdr:colOff>371475</xdr:colOff>
          <xdr:row>7</xdr:row>
          <xdr:rowOff>180975</xdr:rowOff>
        </xdr:to>
        <xdr:sp macro="" textlink="">
          <xdr:nvSpPr>
            <xdr:cNvPr id="2118" name="Check Box 70" hidden="1">
              <a:extLst>
                <a:ext uri="{63B3BB69-23CF-44E3-9099-C40C66FF867C}">
                  <a14:compatExt spid="_x0000_s21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8</xdr:row>
          <xdr:rowOff>9525</xdr:rowOff>
        </xdr:from>
        <xdr:to>
          <xdr:col>3</xdr:col>
          <xdr:colOff>371475</xdr:colOff>
          <xdr:row>8</xdr:row>
          <xdr:rowOff>190500</xdr:rowOff>
        </xdr:to>
        <xdr:sp macro="" textlink="">
          <xdr:nvSpPr>
            <xdr:cNvPr id="2119" name="Check Box 71" hidden="1">
              <a:extLst>
                <a:ext uri="{63B3BB69-23CF-44E3-9099-C40C66FF867C}">
                  <a14:compatExt spid="_x0000_s21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11</xdr:row>
          <xdr:rowOff>0</xdr:rowOff>
        </xdr:from>
        <xdr:to>
          <xdr:col>3</xdr:col>
          <xdr:colOff>371475</xdr:colOff>
          <xdr:row>11</xdr:row>
          <xdr:rowOff>180975</xdr:rowOff>
        </xdr:to>
        <xdr:sp macro="" textlink="">
          <xdr:nvSpPr>
            <xdr:cNvPr id="2120" name="Check Box 72" hidden="1">
              <a:extLst>
                <a:ext uri="{63B3BB69-23CF-44E3-9099-C40C66FF867C}">
                  <a14:compatExt spid="_x0000_s21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12</xdr:row>
          <xdr:rowOff>0</xdr:rowOff>
        </xdr:from>
        <xdr:to>
          <xdr:col>3</xdr:col>
          <xdr:colOff>371475</xdr:colOff>
          <xdr:row>12</xdr:row>
          <xdr:rowOff>180975</xdr:rowOff>
        </xdr:to>
        <xdr:sp macro="" textlink="">
          <xdr:nvSpPr>
            <xdr:cNvPr id="2121" name="Check Box 73" hidden="1">
              <a:extLst>
                <a:ext uri="{63B3BB69-23CF-44E3-9099-C40C66FF867C}">
                  <a14:compatExt spid="_x0000_s2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13</xdr:row>
          <xdr:rowOff>9525</xdr:rowOff>
        </xdr:from>
        <xdr:to>
          <xdr:col>3</xdr:col>
          <xdr:colOff>371475</xdr:colOff>
          <xdr:row>13</xdr:row>
          <xdr:rowOff>190500</xdr:rowOff>
        </xdr:to>
        <xdr:sp macro="" textlink="">
          <xdr:nvSpPr>
            <xdr:cNvPr id="2122" name="Check Box 74" hidden="1">
              <a:extLst>
                <a:ext uri="{63B3BB69-23CF-44E3-9099-C40C66FF867C}">
                  <a14:compatExt spid="_x0000_s2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14</xdr:row>
          <xdr:rowOff>19050</xdr:rowOff>
        </xdr:from>
        <xdr:to>
          <xdr:col>3</xdr:col>
          <xdr:colOff>371475</xdr:colOff>
          <xdr:row>15</xdr:row>
          <xdr:rowOff>0</xdr:rowOff>
        </xdr:to>
        <xdr:sp macro="" textlink="">
          <xdr:nvSpPr>
            <xdr:cNvPr id="2123" name="Check Box 75" hidden="1">
              <a:extLst>
                <a:ext uri="{63B3BB69-23CF-44E3-9099-C40C66FF867C}">
                  <a14:compatExt spid="_x0000_s21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17</xdr:row>
          <xdr:rowOff>0</xdr:rowOff>
        </xdr:from>
        <xdr:to>
          <xdr:col>3</xdr:col>
          <xdr:colOff>371475</xdr:colOff>
          <xdr:row>17</xdr:row>
          <xdr:rowOff>180975</xdr:rowOff>
        </xdr:to>
        <xdr:sp macro="" textlink="">
          <xdr:nvSpPr>
            <xdr:cNvPr id="2124" name="Check Box 76" hidden="1">
              <a:extLst>
                <a:ext uri="{63B3BB69-23CF-44E3-9099-C40C66FF867C}">
                  <a14:compatExt spid="_x0000_s21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18</xdr:row>
          <xdr:rowOff>0</xdr:rowOff>
        </xdr:from>
        <xdr:to>
          <xdr:col>3</xdr:col>
          <xdr:colOff>371475</xdr:colOff>
          <xdr:row>18</xdr:row>
          <xdr:rowOff>180975</xdr:rowOff>
        </xdr:to>
        <xdr:sp macro="" textlink="">
          <xdr:nvSpPr>
            <xdr:cNvPr id="2125" name="Check Box 77" hidden="1">
              <a:extLst>
                <a:ext uri="{63B3BB69-23CF-44E3-9099-C40C66FF867C}">
                  <a14:compatExt spid="_x0000_s21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19</xdr:row>
          <xdr:rowOff>0</xdr:rowOff>
        </xdr:from>
        <xdr:to>
          <xdr:col>3</xdr:col>
          <xdr:colOff>371475</xdr:colOff>
          <xdr:row>19</xdr:row>
          <xdr:rowOff>180975</xdr:rowOff>
        </xdr:to>
        <xdr:sp macro="" textlink="">
          <xdr:nvSpPr>
            <xdr:cNvPr id="2126" name="Check Box 78" hidden="1">
              <a:extLst>
                <a:ext uri="{63B3BB69-23CF-44E3-9099-C40C66FF867C}">
                  <a14:compatExt spid="_x0000_s21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20</xdr:row>
          <xdr:rowOff>9525</xdr:rowOff>
        </xdr:from>
        <xdr:to>
          <xdr:col>3</xdr:col>
          <xdr:colOff>371475</xdr:colOff>
          <xdr:row>21</xdr:row>
          <xdr:rowOff>0</xdr:rowOff>
        </xdr:to>
        <xdr:sp macro="" textlink="">
          <xdr:nvSpPr>
            <xdr:cNvPr id="2127" name="Check Box 79" hidden="1">
              <a:extLst>
                <a:ext uri="{63B3BB69-23CF-44E3-9099-C40C66FF867C}">
                  <a14:compatExt spid="_x0000_s21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23</xdr:row>
          <xdr:rowOff>0</xdr:rowOff>
        </xdr:from>
        <xdr:to>
          <xdr:col>3</xdr:col>
          <xdr:colOff>371475</xdr:colOff>
          <xdr:row>23</xdr:row>
          <xdr:rowOff>180975</xdr:rowOff>
        </xdr:to>
        <xdr:sp macro="" textlink="">
          <xdr:nvSpPr>
            <xdr:cNvPr id="2128" name="Check Box 80" hidden="1">
              <a:extLst>
                <a:ext uri="{63B3BB69-23CF-44E3-9099-C40C66FF867C}">
                  <a14:compatExt spid="_x0000_s21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24</xdr:row>
          <xdr:rowOff>0</xdr:rowOff>
        </xdr:from>
        <xdr:to>
          <xdr:col>3</xdr:col>
          <xdr:colOff>371475</xdr:colOff>
          <xdr:row>24</xdr:row>
          <xdr:rowOff>180975</xdr:rowOff>
        </xdr:to>
        <xdr:sp macro="" textlink="">
          <xdr:nvSpPr>
            <xdr:cNvPr id="2129" name="Check Box 81" hidden="1">
              <a:extLst>
                <a:ext uri="{63B3BB69-23CF-44E3-9099-C40C66FF867C}">
                  <a14:compatExt spid="_x0000_s21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25</xdr:row>
          <xdr:rowOff>0</xdr:rowOff>
        </xdr:from>
        <xdr:to>
          <xdr:col>3</xdr:col>
          <xdr:colOff>371475</xdr:colOff>
          <xdr:row>25</xdr:row>
          <xdr:rowOff>180975</xdr:rowOff>
        </xdr:to>
        <xdr:sp macro="" textlink="">
          <xdr:nvSpPr>
            <xdr:cNvPr id="2130" name="Check Box 82" hidden="1">
              <a:extLst>
                <a:ext uri="{63B3BB69-23CF-44E3-9099-C40C66FF867C}">
                  <a14:compatExt spid="_x0000_s21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26</xdr:row>
          <xdr:rowOff>9525</xdr:rowOff>
        </xdr:from>
        <xdr:to>
          <xdr:col>3</xdr:col>
          <xdr:colOff>371475</xdr:colOff>
          <xdr:row>27</xdr:row>
          <xdr:rowOff>0</xdr:rowOff>
        </xdr:to>
        <xdr:sp macro="" textlink="">
          <xdr:nvSpPr>
            <xdr:cNvPr id="2131" name="Check Box 83" hidden="1">
              <a:extLst>
                <a:ext uri="{63B3BB69-23CF-44E3-9099-C40C66FF867C}">
                  <a14:compatExt spid="_x0000_s21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29</xdr:row>
          <xdr:rowOff>0</xdr:rowOff>
        </xdr:from>
        <xdr:to>
          <xdr:col>3</xdr:col>
          <xdr:colOff>371475</xdr:colOff>
          <xdr:row>29</xdr:row>
          <xdr:rowOff>180975</xdr:rowOff>
        </xdr:to>
        <xdr:sp macro="" textlink="">
          <xdr:nvSpPr>
            <xdr:cNvPr id="2132" name="Check Box 84" hidden="1">
              <a:extLst>
                <a:ext uri="{63B3BB69-23CF-44E3-9099-C40C66FF867C}">
                  <a14:compatExt spid="_x0000_s21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30</xdr:row>
          <xdr:rowOff>0</xdr:rowOff>
        </xdr:from>
        <xdr:to>
          <xdr:col>3</xdr:col>
          <xdr:colOff>371475</xdr:colOff>
          <xdr:row>30</xdr:row>
          <xdr:rowOff>180975</xdr:rowOff>
        </xdr:to>
        <xdr:sp macro="" textlink="">
          <xdr:nvSpPr>
            <xdr:cNvPr id="2133" name="Check Box 85" hidden="1">
              <a:extLst>
                <a:ext uri="{63B3BB69-23CF-44E3-9099-C40C66FF867C}">
                  <a14:compatExt spid="_x0000_s21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31</xdr:row>
          <xdr:rowOff>0</xdr:rowOff>
        </xdr:from>
        <xdr:to>
          <xdr:col>3</xdr:col>
          <xdr:colOff>371475</xdr:colOff>
          <xdr:row>31</xdr:row>
          <xdr:rowOff>180975</xdr:rowOff>
        </xdr:to>
        <xdr:sp macro="" textlink="">
          <xdr:nvSpPr>
            <xdr:cNvPr id="2134" name="Check Box 86" hidden="1">
              <a:extLst>
                <a:ext uri="{63B3BB69-23CF-44E3-9099-C40C66FF867C}">
                  <a14:compatExt spid="_x0000_s21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xdr:colOff>
          <xdr:row>16</xdr:row>
          <xdr:rowOff>0</xdr:rowOff>
        </xdr:from>
        <xdr:to>
          <xdr:col>7</xdr:col>
          <xdr:colOff>771525</xdr:colOff>
          <xdr:row>18</xdr:row>
          <xdr:rowOff>190500</xdr:rowOff>
        </xdr:to>
        <xdr:sp macro="" textlink="">
          <xdr:nvSpPr>
            <xdr:cNvPr id="2136" name="Check Box 88" hidden="1">
              <a:extLst>
                <a:ext uri="{63B3BB69-23CF-44E3-9099-C40C66FF867C}">
                  <a14:compatExt spid="_x0000_s21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Callers from signing up for full shifts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9</xdr:row>
          <xdr:rowOff>85725</xdr:rowOff>
        </xdr:from>
        <xdr:to>
          <xdr:col>11</xdr:col>
          <xdr:colOff>447675</xdr:colOff>
          <xdr:row>12</xdr:row>
          <xdr:rowOff>104775</xdr:rowOff>
        </xdr:to>
        <xdr:sp macro="" textlink="">
          <xdr:nvSpPr>
            <xdr:cNvPr id="2137" name="ClearWholeSchedule" hidden="1">
              <a:extLst>
                <a:ext uri="{63B3BB69-23CF-44E3-9099-C40C66FF867C}">
                  <a14:compatExt spid="_x0000_s21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xdr:row>
          <xdr:rowOff>114300</xdr:rowOff>
        </xdr:from>
        <xdr:to>
          <xdr:col>11</xdr:col>
          <xdr:colOff>457200</xdr:colOff>
          <xdr:row>4</xdr:row>
          <xdr:rowOff>133350</xdr:rowOff>
        </xdr:to>
        <xdr:sp macro="" textlink="">
          <xdr:nvSpPr>
            <xdr:cNvPr id="2139" name="ArchiveSched" hidden="1">
              <a:extLst>
                <a:ext uri="{63B3BB69-23CF-44E3-9099-C40C66FF867C}">
                  <a14:compatExt spid="_x0000_s2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5</xdr:row>
          <xdr:rowOff>57150</xdr:rowOff>
        </xdr:from>
        <xdr:to>
          <xdr:col>11</xdr:col>
          <xdr:colOff>457200</xdr:colOff>
          <xdr:row>8</xdr:row>
          <xdr:rowOff>85725</xdr:rowOff>
        </xdr:to>
        <xdr:sp macro="" textlink="">
          <xdr:nvSpPr>
            <xdr:cNvPr id="2141" name="SetNewSchedule" hidden="1">
              <a:extLst>
                <a:ext uri="{63B3BB69-23CF-44E3-9099-C40C66FF867C}">
                  <a14:compatExt spid="_x0000_s2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11</xdr:row>
          <xdr:rowOff>133350</xdr:rowOff>
        </xdr:from>
        <xdr:to>
          <xdr:col>7</xdr:col>
          <xdr:colOff>800100</xdr:colOff>
          <xdr:row>14</xdr:row>
          <xdr:rowOff>123825</xdr:rowOff>
        </xdr:to>
        <xdr:sp macro="" textlink="">
          <xdr:nvSpPr>
            <xdr:cNvPr id="2145" name="Check Box 97" hidden="1">
              <a:extLst>
                <a:ext uri="{63B3BB69-23CF-44E3-9099-C40C66FF867C}">
                  <a14:compatExt spid="_x0000_s2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Lock the Schedule and prevent employees from signing up for shifts.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xdr:colOff>
          <xdr:row>19</xdr:row>
          <xdr:rowOff>0</xdr:rowOff>
        </xdr:from>
        <xdr:to>
          <xdr:col>7</xdr:col>
          <xdr:colOff>771525</xdr:colOff>
          <xdr:row>21</xdr:row>
          <xdr:rowOff>190500</xdr:rowOff>
        </xdr:to>
        <xdr:sp macro="" textlink="">
          <xdr:nvSpPr>
            <xdr:cNvPr id="2146" name="Check Box 98" hidden="1">
              <a:extLst>
                <a:ext uri="{63B3BB69-23CF-44E3-9099-C40C66FF867C}">
                  <a14:compatExt spid="_x0000_s2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Unlock the Master Schedule for editting demographic data</a:t>
              </a:r>
            </a:p>
          </xdr:txBody>
        </xdr:sp>
        <xdr:clientData/>
      </xdr:twoCellAnchor>
    </mc:Choice>
    <mc:Fallback/>
  </mc:AlternateContent>
</xdr:wsDr>
</file>

<file path=xl/queryTables/queryTable1.xml><?xml version="1.0" encoding="utf-8"?>
<queryTable xmlns="http://schemas.openxmlformats.org/spreadsheetml/2006/main" name="MSchedule_1" backgroundRefresh="0" adjustColumnWidth="0" connectionId="1" autoFormatId="16" applyNumberFormats="0" applyBorderFormats="0" applyFontFormats="0" applyPatternFormats="0" applyAlignmentFormats="0" applyWidthHeightFormats="0">
  <queryTableRefresh nextId="26">
    <queryTableFields count="25">
      <queryTableField id="1" name="Student Employee" tableColumnId="1"/>
      <queryTableField id="2" name="Position" tableColumnId="2"/>
      <queryTableField id="3" name="Leader" tableColumnId="3"/>
      <queryTableField id="4" name="SE" tableColumnId="4"/>
      <queryTableField id="5" name="S1" tableColumnId="5"/>
      <queryTableField id="6" name="S2" tableColumnId="6"/>
      <queryTableField id="7" name="SP" tableColumnId="7"/>
      <queryTableField id="8" name="TE" tableColumnId="8"/>
      <queryTableField id="9" name="T1" tableColumnId="9"/>
      <queryTableField id="10" name="T2" tableColumnId="10"/>
      <queryTableField id="11" name="TP" tableColumnId="11"/>
      <queryTableField id="12" name="WE" tableColumnId="12"/>
      <queryTableField id="13" name="W1" tableColumnId="13"/>
      <queryTableField id="14" name="W2" tableColumnId="14"/>
      <queryTableField id="15" name="WP" tableColumnId="15"/>
      <queryTableField id="16" name="ThE" tableColumnId="16"/>
      <queryTableField id="17" name="Th1" tableColumnId="17"/>
      <queryTableField id="18" name="Th2" tableColumnId="18"/>
      <queryTableField id="19" name="ThP" tableColumnId="19"/>
      <queryTableField id="20" name="FE" tableColumnId="20"/>
      <queryTableField id="21" name="F1" tableColumnId="21"/>
      <queryTableField id="22" name="F2" tableColumnId="22"/>
      <queryTableField id="23" name="Signed" tableColumnId="23"/>
      <queryTableField id="24" name="Required" tableColumnId="24"/>
      <queryTableField id="25" name="Notes" tableColumnId="25"/>
    </queryTableFields>
  </queryTableRefresh>
  <extLst>
    <ext xmlns:x15="http://schemas.microsoft.com/office/spreadsheetml/2010/11/main" uri="{883FBD77-0823-4a55-B5E3-86C4891E6966}">
      <x15:queryTable sourceDataName="WorksheetConnection_Telefund Scheduling.xlsx!MSchedule"/>
    </ext>
  </extLst>
</queryTable>
</file>

<file path=xl/queryTables/queryTable2.xml><?xml version="1.0" encoding="utf-8"?>
<queryTable xmlns="http://schemas.openxmlformats.org/spreadsheetml/2006/main" name="MSchedule_2" backgroundRefresh="0" adjustColumnWidth="0" connectionId="2" autoFormatId="16" applyNumberFormats="0" applyBorderFormats="0" applyFontFormats="0" applyPatternFormats="0" applyAlignmentFormats="0" applyWidthHeightFormats="0">
  <queryTableRefresh nextId="26">
    <queryTableFields count="25">
      <queryTableField id="1" name="Student Employee" tableColumnId="1"/>
      <queryTableField id="2" name="Position" tableColumnId="2"/>
      <queryTableField id="3" name="Leader" tableColumnId="3"/>
      <queryTableField id="4" name="SE" tableColumnId="4"/>
      <queryTableField id="5" name="S1" tableColumnId="5"/>
      <queryTableField id="6" name="S2" tableColumnId="6"/>
      <queryTableField id="7" name="SP" tableColumnId="7"/>
      <queryTableField id="8" name="TE" tableColumnId="8"/>
      <queryTableField id="9" name="T1" tableColumnId="9"/>
      <queryTableField id="10" name="T2" tableColumnId="10"/>
      <queryTableField id="11" name="TP" tableColumnId="11"/>
      <queryTableField id="12" name="WE" tableColumnId="12"/>
      <queryTableField id="13" name="W1" tableColumnId="13"/>
      <queryTableField id="14" name="W2" tableColumnId="14"/>
      <queryTableField id="15" name="WP" tableColumnId="15"/>
      <queryTableField id="16" name="ThE" tableColumnId="16"/>
      <queryTableField id="17" name="Th1" tableColumnId="17"/>
      <queryTableField id="18" name="Th2" tableColumnId="18"/>
      <queryTableField id="19" name="ThP" tableColumnId="19"/>
      <queryTableField id="20" name="FE" tableColumnId="20"/>
      <queryTableField id="21" name="F1" tableColumnId="21"/>
      <queryTableField id="22" name="F2" tableColumnId="22"/>
      <queryTableField id="23" name="Signed" tableColumnId="23"/>
      <queryTableField id="24" name="Required" tableColumnId="24"/>
      <queryTableField id="25" name="Notes" tableColumnId="25"/>
    </queryTableFields>
  </queryTableRefresh>
  <extLst>
    <ext xmlns:x15="http://schemas.microsoft.com/office/spreadsheetml/2010/11/main" uri="{883FBD77-0823-4a55-B5E3-86C4891E6966}">
      <x15:queryTable sourceDataName="WorksheetConnection_Telefund Scheduling.xlsx!MSchedule"/>
    </ext>
  </extLst>
</queryTable>
</file>

<file path=xl/queryTables/queryTable3.xml><?xml version="1.0" encoding="utf-8"?>
<queryTable xmlns="http://schemas.openxmlformats.org/spreadsheetml/2006/main" name="MSchedule_3" backgroundRefresh="0" adjustColumnWidth="0" connectionId="3" autoFormatId="16" applyNumberFormats="0" applyBorderFormats="0" applyFontFormats="0" applyPatternFormats="0" applyAlignmentFormats="0" applyWidthHeightFormats="0">
  <queryTableRefresh nextId="26">
    <queryTableFields count="25">
      <queryTableField id="1" name="Student Employee" tableColumnId="1"/>
      <queryTableField id="2" name="Position" tableColumnId="2"/>
      <queryTableField id="3" name="Leader" tableColumnId="3"/>
      <queryTableField id="4" name="SE" tableColumnId="4"/>
      <queryTableField id="5" name="S1" tableColumnId="5"/>
      <queryTableField id="6" name="S2" tableColumnId="6"/>
      <queryTableField id="7" name="SP" tableColumnId="7"/>
      <queryTableField id="8" name="TE" tableColumnId="8"/>
      <queryTableField id="9" name="T1" tableColumnId="9"/>
      <queryTableField id="10" name="T2" tableColumnId="10"/>
      <queryTableField id="11" name="TP" tableColumnId="11"/>
      <queryTableField id="12" name="WE" tableColumnId="12"/>
      <queryTableField id="13" name="W1" tableColumnId="13"/>
      <queryTableField id="14" name="W2" tableColumnId="14"/>
      <queryTableField id="15" name="WP" tableColumnId="15"/>
      <queryTableField id="16" name="ThE" tableColumnId="16"/>
      <queryTableField id="17" name="Th1" tableColumnId="17"/>
      <queryTableField id="18" name="Th2" tableColumnId="18"/>
      <queryTableField id="19" name="ThP" tableColumnId="19"/>
      <queryTableField id="20" name="FE" tableColumnId="20"/>
      <queryTableField id="21" name="F1" tableColumnId="21"/>
      <queryTableField id="22" name="F2" tableColumnId="22"/>
      <queryTableField id="23" name="Signed" tableColumnId="23"/>
      <queryTableField id="24" name="Required" tableColumnId="24"/>
      <queryTableField id="25" name="Notes" tableColumnId="25"/>
    </queryTableFields>
  </queryTableRefresh>
  <extLst>
    <ext xmlns:x15="http://schemas.microsoft.com/office/spreadsheetml/2010/11/main" uri="{883FBD77-0823-4a55-B5E3-86C4891E6966}">
      <x15:queryTable sourceDataName="WorksheetConnection_Telefund Scheduling.xlsx!MSchedule"/>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sition" sourceName="Position">
  <extLst>
    <x:ext xmlns:x15="http://schemas.microsoft.com/office/spreadsheetml/2010/11/main" uri="{2F2917AC-EB37-4324-AD4E-5DD8C200BD13}">
      <x15:tableSlicerCache tableId="1"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Leader" sourceName="Leader">
  <extLst>
    <x:ext xmlns:x15="http://schemas.microsoft.com/office/spreadsheetml/2010/11/main" uri="{2F2917AC-EB37-4324-AD4E-5DD8C200BD13}">
      <x15:tableSlicerCache tableId="1"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osition" cache="Slicer_Position" caption="Position" style="SlicerStyleDark1" rowHeight="241300"/>
  <slicer name="Leader" cache="Slicer_Leader" caption="Leader" style="SlicerStyleDark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2" name="CSchedule_C" displayName="CSchedule_C" ref="B5:Z86" tableType="queryTable" totalsRowCount="1" headerRowDxfId="51" dataDxfId="50">
  <autoFilter ref="B5:Z85">
    <filterColumn colId="0" hiddenButton="1"/>
    <filterColumn colId="1" hiddenButton="1">
      <filters>
        <filter val="Caller"/>
        <filter val="Trainee"/>
      </filters>
    </filterColumn>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autoFilter>
  <tableColumns count="25">
    <tableColumn id="1" uniqueName="1" name="Student Employee" totalsRowLabel="Total" queryTableFieldId="1" dataDxfId="48" totalsRowDxfId="49"/>
    <tableColumn id="2" uniqueName="2" name="Position" queryTableFieldId="2" dataDxfId="46" totalsRowDxfId="47"/>
    <tableColumn id="3" uniqueName="3" name="Leader" queryTableFieldId="3" dataDxfId="44" totalsRowDxfId="45"/>
    <tableColumn id="4" uniqueName="4" name="SE" totalsRowFunction="count" queryTableFieldId="4" dataDxfId="42" totalsRowDxfId="43"/>
    <tableColumn id="5" uniqueName="5" name="S1" totalsRowFunction="count" queryTableFieldId="5" dataDxfId="40" totalsRowDxfId="41"/>
    <tableColumn id="6" uniqueName="6" name="S2" totalsRowFunction="count" queryTableFieldId="6" dataDxfId="38" totalsRowDxfId="39"/>
    <tableColumn id="7" uniqueName="7" name="SP" totalsRowFunction="count" queryTableFieldId="7" dataDxfId="36" totalsRowDxfId="37"/>
    <tableColumn id="8" uniqueName="8" name="TE" totalsRowFunction="count" queryTableFieldId="8" dataDxfId="34" totalsRowDxfId="35"/>
    <tableColumn id="9" uniqueName="9" name="T1" totalsRowFunction="count" queryTableFieldId="9" dataDxfId="32" totalsRowDxfId="33"/>
    <tableColumn id="10" uniqueName="10" name="T2" totalsRowFunction="count" queryTableFieldId="10" dataDxfId="30" totalsRowDxfId="31"/>
    <tableColumn id="11" uniqueName="11" name="TP" totalsRowFunction="count" queryTableFieldId="11" dataDxfId="28" totalsRowDxfId="29"/>
    <tableColumn id="12" uniqueName="12" name="WE" totalsRowFunction="count" queryTableFieldId="12" dataDxfId="26" totalsRowDxfId="27"/>
    <tableColumn id="13" uniqueName="13" name="W1" totalsRowFunction="count" queryTableFieldId="13" dataDxfId="24" totalsRowDxfId="25"/>
    <tableColumn id="14" uniqueName="14" name="W2" totalsRowFunction="count" queryTableFieldId="14" dataDxfId="22" totalsRowDxfId="23"/>
    <tableColumn id="15" uniqueName="15" name="WP" totalsRowFunction="count" queryTableFieldId="15" dataDxfId="20" totalsRowDxfId="21"/>
    <tableColumn id="16" uniqueName="16" name="ThE" totalsRowFunction="count" queryTableFieldId="16" dataDxfId="18" totalsRowDxfId="19"/>
    <tableColumn id="17" uniqueName="17" name="Th1" totalsRowFunction="count" queryTableFieldId="17" dataDxfId="16" totalsRowDxfId="17"/>
    <tableColumn id="18" uniqueName="18" name="Th2" totalsRowFunction="count" queryTableFieldId="18" dataDxfId="14" totalsRowDxfId="15"/>
    <tableColumn id="19" uniqueName="19" name="ThP" totalsRowFunction="count" queryTableFieldId="19" dataDxfId="12" totalsRowDxfId="13"/>
    <tableColumn id="20" uniqueName="20" name="FE" totalsRowFunction="count" queryTableFieldId="20" dataDxfId="10" totalsRowDxfId="11"/>
    <tableColumn id="21" uniqueName="21" name="F1" totalsRowFunction="count" queryTableFieldId="21" dataDxfId="8" totalsRowDxfId="9"/>
    <tableColumn id="22" uniqueName="22" name="F2" totalsRowFunction="count" queryTableFieldId="22" dataDxfId="6" totalsRowDxfId="7"/>
    <tableColumn id="23" uniqueName="23" name="Signed" queryTableFieldId="23" dataDxfId="4" totalsRowDxfId="5"/>
    <tableColumn id="24" uniqueName="24" name="Required" queryTableFieldId="24" dataDxfId="2" totalsRowDxfId="3"/>
    <tableColumn id="25" uniqueName="25" name="Notes" queryTableFieldId="25" dataDxfId="0" totalsRowDxfId="1"/>
  </tableColumns>
  <tableStyleInfo name="TableStyleMedium16" showFirstColumn="0" showLastColumn="0" showRowStripes="1" showColumnStripes="0"/>
</table>
</file>

<file path=xl/tables/table2.xml><?xml version="1.0" encoding="utf-8"?>
<table xmlns="http://schemas.openxmlformats.org/spreadsheetml/2006/main" id="3" name="CSchedule_T" displayName="CSchedule_T" ref="B87:Z168" tableType="queryTable" totalsRowCount="1" headerRowDxfId="103" dataDxfId="102">
  <autoFilter ref="B87:Z167">
    <filterColumn colId="1">
      <filters>
        <filter val="Lead Trainer"/>
      </filters>
    </filterColumn>
  </autoFilter>
  <tableColumns count="25">
    <tableColumn id="1" uniqueName="1" name="Student Employee" totalsRowLabel="Total" queryTableFieldId="1" dataDxfId="100" totalsRowDxfId="101"/>
    <tableColumn id="2" uniqueName="2" name="Position" queryTableFieldId="2" dataDxfId="98" totalsRowDxfId="99"/>
    <tableColumn id="3" uniqueName="3" name="Leader" queryTableFieldId="3" dataDxfId="96" totalsRowDxfId="97"/>
    <tableColumn id="4" uniqueName="4" name="SE" totalsRowFunction="count" queryTableFieldId="4" dataDxfId="94" totalsRowDxfId="95"/>
    <tableColumn id="5" uniqueName="5" name="S1" totalsRowFunction="count" queryTableFieldId="5" dataDxfId="92" totalsRowDxfId="93"/>
    <tableColumn id="6" uniqueName="6" name="S2" totalsRowFunction="count" queryTableFieldId="6" dataDxfId="90" totalsRowDxfId="91"/>
    <tableColumn id="7" uniqueName="7" name="SP" totalsRowFunction="count" queryTableFieldId="7" dataDxfId="88" totalsRowDxfId="89"/>
    <tableColumn id="8" uniqueName="8" name="TE" totalsRowFunction="count" queryTableFieldId="8" dataDxfId="86" totalsRowDxfId="87"/>
    <tableColumn id="9" uniqueName="9" name="T1" totalsRowFunction="count" queryTableFieldId="9" dataDxfId="84" totalsRowDxfId="85"/>
    <tableColumn id="10" uniqueName="10" name="T2" totalsRowFunction="count" queryTableFieldId="10" dataDxfId="82" totalsRowDxfId="83"/>
    <tableColumn id="11" uniqueName="11" name="TP" totalsRowFunction="count" queryTableFieldId="11" dataDxfId="80" totalsRowDxfId="81"/>
    <tableColumn id="12" uniqueName="12" name="WE" totalsRowFunction="count" queryTableFieldId="12" dataDxfId="78" totalsRowDxfId="79"/>
    <tableColumn id="13" uniqueName="13" name="W1" totalsRowFunction="count" queryTableFieldId="13" dataDxfId="76" totalsRowDxfId="77"/>
    <tableColumn id="14" uniqueName="14" name="W2" totalsRowFunction="count" queryTableFieldId="14" dataDxfId="74" totalsRowDxfId="75"/>
    <tableColumn id="15" uniqueName="15" name="WP" totalsRowFunction="count" queryTableFieldId="15" dataDxfId="72" totalsRowDxfId="73"/>
    <tableColumn id="16" uniqueName="16" name="ThE" totalsRowFunction="count" queryTableFieldId="16" dataDxfId="70" totalsRowDxfId="71"/>
    <tableColumn id="17" uniqueName="17" name="Th1" totalsRowFunction="count" queryTableFieldId="17" dataDxfId="68" totalsRowDxfId="69"/>
    <tableColumn id="18" uniqueName="18" name="Th2" totalsRowFunction="count" queryTableFieldId="18" dataDxfId="66" totalsRowDxfId="67"/>
    <tableColumn id="19" uniqueName="19" name="ThP" totalsRowFunction="count" queryTableFieldId="19" dataDxfId="64" totalsRowDxfId="65"/>
    <tableColumn id="20" uniqueName="20" name="FE" totalsRowFunction="count" queryTableFieldId="20" dataDxfId="62" totalsRowDxfId="63"/>
    <tableColumn id="21" uniqueName="21" name="F1" totalsRowFunction="count" queryTableFieldId="21" dataDxfId="60" totalsRowDxfId="61"/>
    <tableColumn id="22" uniqueName="22" name="F2" totalsRowFunction="count" queryTableFieldId="22" dataDxfId="58" totalsRowDxfId="59"/>
    <tableColumn id="23" uniqueName="23" name="Signed" queryTableFieldId="23" dataDxfId="56" totalsRowDxfId="57"/>
    <tableColumn id="24" uniqueName="24" name="Required" queryTableFieldId="24" dataDxfId="54" totalsRowDxfId="55"/>
    <tableColumn id="25" uniqueName="25" name="Notes" queryTableFieldId="25" dataDxfId="52" totalsRowDxfId="53"/>
  </tableColumns>
  <tableStyleInfo name="TableStyleMedium16" showFirstColumn="0" showLastColumn="0" showRowStripes="1" showColumnStripes="0"/>
</table>
</file>

<file path=xl/tables/table3.xml><?xml version="1.0" encoding="utf-8"?>
<table xmlns="http://schemas.openxmlformats.org/spreadsheetml/2006/main" id="4" name="CSchedule_L" displayName="CSchedule_L" ref="B169:Z247" tableType="queryTable" totalsRowCount="1" headerRowDxfId="195" dataDxfId="194">
  <autoFilter ref="B169:Z246">
    <filterColumn colId="1">
      <filters>
        <filter val="District Leader"/>
        <filter val="Zone Leader"/>
      </filters>
    </filterColumn>
  </autoFilter>
  <tableColumns count="25">
    <tableColumn id="1" uniqueName="1" name="Student Employee" totalsRowLabel="Total" queryTableFieldId="1" dataDxfId="128" totalsRowDxfId="139"/>
    <tableColumn id="2" uniqueName="2" name="Position" queryTableFieldId="2" dataDxfId="127" totalsRowDxfId="140"/>
    <tableColumn id="3" uniqueName="3" name="Leader" queryTableFieldId="3" dataDxfId="126" totalsRowDxfId="141"/>
    <tableColumn id="4" uniqueName="4" name="SE" totalsRowFunction="count" queryTableFieldId="4" dataDxfId="125" totalsRowDxfId="142"/>
    <tableColumn id="5" uniqueName="5" name="S1" totalsRowFunction="count" queryTableFieldId="5" dataDxfId="124" totalsRowDxfId="143"/>
    <tableColumn id="6" uniqueName="6" name="S2" totalsRowFunction="count" queryTableFieldId="6" dataDxfId="123" totalsRowDxfId="144"/>
    <tableColumn id="7" uniqueName="7" name="SP" totalsRowFunction="count" queryTableFieldId="7" dataDxfId="122" totalsRowDxfId="145"/>
    <tableColumn id="8" uniqueName="8" name="TE" totalsRowFunction="count" queryTableFieldId="8" dataDxfId="121" totalsRowDxfId="146"/>
    <tableColumn id="9" uniqueName="9" name="T1" totalsRowFunction="count" queryTableFieldId="9" dataDxfId="120" totalsRowDxfId="147"/>
    <tableColumn id="10" uniqueName="10" name="T2" totalsRowFunction="count" queryTableFieldId="10" dataDxfId="119" totalsRowDxfId="148"/>
    <tableColumn id="11" uniqueName="11" name="TP" totalsRowFunction="count" queryTableFieldId="11" dataDxfId="118" totalsRowDxfId="149"/>
    <tableColumn id="12" uniqueName="12" name="WE" totalsRowFunction="count" queryTableFieldId="12" dataDxfId="117" totalsRowDxfId="150"/>
    <tableColumn id="13" uniqueName="13" name="W1" totalsRowFunction="count" queryTableFieldId="13" dataDxfId="116" totalsRowDxfId="151"/>
    <tableColumn id="14" uniqueName="14" name="W2" totalsRowFunction="count" queryTableFieldId="14" dataDxfId="115" totalsRowDxfId="152"/>
    <tableColumn id="15" uniqueName="15" name="WP" totalsRowFunction="count" queryTableFieldId="15" dataDxfId="114" totalsRowDxfId="153"/>
    <tableColumn id="16" uniqueName="16" name="ThE" totalsRowFunction="count" queryTableFieldId="16" dataDxfId="113" totalsRowDxfId="154"/>
    <tableColumn id="17" uniqueName="17" name="Th1" totalsRowFunction="count" queryTableFieldId="17" dataDxfId="112" totalsRowDxfId="155"/>
    <tableColumn id="18" uniqueName="18" name="Th2" totalsRowFunction="count" queryTableFieldId="18" dataDxfId="111" totalsRowDxfId="156"/>
    <tableColumn id="19" uniqueName="19" name="ThP" totalsRowFunction="count" queryTableFieldId="19" dataDxfId="110" totalsRowDxfId="157"/>
    <tableColumn id="20" uniqueName="20" name="FE" totalsRowFunction="count" queryTableFieldId="20" dataDxfId="109" totalsRowDxfId="158"/>
    <tableColumn id="21" uniqueName="21" name="F1" totalsRowFunction="count" queryTableFieldId="21" dataDxfId="108" totalsRowDxfId="159"/>
    <tableColumn id="22" uniqueName="22" name="F2" totalsRowFunction="count" queryTableFieldId="22" dataDxfId="107" totalsRowDxfId="160"/>
    <tableColumn id="23" uniqueName="23" name="Signed" queryTableFieldId="23" dataDxfId="106" totalsRowDxfId="161"/>
    <tableColumn id="24" uniqueName="24" name="Required" queryTableFieldId="24" dataDxfId="105" totalsRowDxfId="162"/>
    <tableColumn id="25" uniqueName="25" name="Notes" queryTableFieldId="25" dataDxfId="104" totalsRowDxfId="163"/>
  </tableColumns>
  <tableStyleInfo name="TableStyleMedium16" showFirstColumn="0" showLastColumn="0" showRowStripes="1" showColumnStripes="0"/>
</table>
</file>

<file path=xl/tables/table4.xml><?xml version="1.0" encoding="utf-8"?>
<table xmlns="http://schemas.openxmlformats.org/spreadsheetml/2006/main" id="1" name="MSchedule" displayName="MSchedule" ref="B5:Z83" totalsRowCount="1" headerRowDxfId="193" dataDxfId="192" totalsRowDxfId="191">
  <autoFilter ref="B5:Z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autoFilter>
  <sortState ref="B6:Z85">
    <sortCondition ref="B6:B85"/>
  </sortState>
  <tableColumns count="25">
    <tableColumn id="1" name="Student Employee" totalsRowFunction="count" totalsRowDxfId="188"/>
    <tableColumn id="2" name="Position" totalsRowDxfId="187"/>
    <tableColumn id="3" name="Leader" totalsRowDxfId="186"/>
    <tableColumn id="4" name="SE" totalsRowDxfId="185"/>
    <tableColumn id="5" name="S1" totalsRowDxfId="184"/>
    <tableColumn id="6" name="S2" totalsRowDxfId="183"/>
    <tableColumn id="7" name="SP" totalsRowDxfId="182"/>
    <tableColumn id="8" name="TE" totalsRowDxfId="181"/>
    <tableColumn id="9" name="T1" totalsRowDxfId="180"/>
    <tableColumn id="10" name="T2" totalsRowDxfId="179"/>
    <tableColumn id="11" name="TP" totalsRowDxfId="178"/>
    <tableColumn id="12" name="WE" totalsRowDxfId="177"/>
    <tableColumn id="13" name="W1" totalsRowDxfId="176"/>
    <tableColumn id="14" name="W2" totalsRowDxfId="175"/>
    <tableColumn id="15" name="WP" totalsRowDxfId="174"/>
    <tableColumn id="16" name="ThE" totalsRowDxfId="173"/>
    <tableColumn id="17" name="Th1" totalsRowDxfId="172"/>
    <tableColumn id="18" name="Th2" totalsRowDxfId="171"/>
    <tableColumn id="19" name="ThP" totalsRowDxfId="170"/>
    <tableColumn id="20" name="FE" totalsRowDxfId="169"/>
    <tableColumn id="21" name="F1" totalsRowDxfId="168"/>
    <tableColumn id="22" name="F2" totalsRowDxfId="167"/>
    <tableColumn id="23" name="Signed" totalsRowFunction="sum" dataDxfId="190" totalsRowDxfId="166">
      <calculatedColumnFormula>COUNTA(E6:G6,I6:K6,M6:O6,Q6:S6,U6:V6,W6)*2 + COUNTA(H6,L6,P6,T6)</calculatedColumnFormula>
    </tableColumn>
    <tableColumn id="26" name="Required" totalsRowFunction="sum" dataDxfId="189" totalsRowDxfId="165">
      <calculatedColumnFormula>IF(MSchedule[[#This Row],[Position]] = "Caller", Controls!$H$4, IF(MSchedule[[#This Row],[Position]] = "Trainee", Controls!$H$5, IF(MSchedule[[#This Row],[Position]] = "Lead Trainer", Controls!$H$6, IF(MSchedule[[#This Row],[Position]] = "District Lead", Controls!$H$7, IF(MSchedule[[#This Row],[Position]] = "Zone Leader", Controls!$H$8, "0")))))</calculatedColumnFormula>
    </tableColumn>
    <tableColumn id="25" name="Notes" totalsRowDxfId="164"/>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6" Type="http://schemas.openxmlformats.org/officeDocument/2006/relationships/control" Target="../activeX/activeX13.xml"/><Relationship Id="rId21" Type="http://schemas.openxmlformats.org/officeDocument/2006/relationships/image" Target="../media/image10.emf"/><Relationship Id="rId42" Type="http://schemas.openxmlformats.org/officeDocument/2006/relationships/control" Target="../activeX/activeX21.xml"/><Relationship Id="rId47" Type="http://schemas.openxmlformats.org/officeDocument/2006/relationships/image" Target="../media/image23.emf"/><Relationship Id="rId63" Type="http://schemas.openxmlformats.org/officeDocument/2006/relationships/image" Target="../media/image31.emf"/><Relationship Id="rId68" Type="http://schemas.openxmlformats.org/officeDocument/2006/relationships/control" Target="../activeX/activeX34.xml"/><Relationship Id="rId84" Type="http://schemas.openxmlformats.org/officeDocument/2006/relationships/control" Target="../activeX/activeX42.xml"/><Relationship Id="rId89" Type="http://schemas.openxmlformats.org/officeDocument/2006/relationships/ctrlProp" Target="../ctrlProps/ctrlProp4.xml"/><Relationship Id="rId7" Type="http://schemas.openxmlformats.org/officeDocument/2006/relationships/image" Target="../media/image3.emf"/><Relationship Id="rId71" Type="http://schemas.openxmlformats.org/officeDocument/2006/relationships/image" Target="../media/image35.emf"/><Relationship Id="rId92" Type="http://schemas.openxmlformats.org/officeDocument/2006/relationships/ctrlProp" Target="../ctrlProps/ctrlProp7.xml"/><Relationship Id="rId2" Type="http://schemas.openxmlformats.org/officeDocument/2006/relationships/drawing" Target="../drawings/drawing2.xml"/><Relationship Id="rId16" Type="http://schemas.openxmlformats.org/officeDocument/2006/relationships/control" Target="../activeX/activeX8.xml"/><Relationship Id="rId29" Type="http://schemas.openxmlformats.org/officeDocument/2006/relationships/image" Target="../media/image14.emf"/><Relationship Id="rId107" Type="http://schemas.openxmlformats.org/officeDocument/2006/relationships/ctrlProp" Target="../ctrlProps/ctrlProp22.xml"/><Relationship Id="rId11" Type="http://schemas.openxmlformats.org/officeDocument/2006/relationships/image" Target="../media/image5.emf"/><Relationship Id="rId24" Type="http://schemas.openxmlformats.org/officeDocument/2006/relationships/control" Target="../activeX/activeX12.xml"/><Relationship Id="rId32" Type="http://schemas.openxmlformats.org/officeDocument/2006/relationships/control" Target="../activeX/activeX16.xml"/><Relationship Id="rId37" Type="http://schemas.openxmlformats.org/officeDocument/2006/relationships/image" Target="../media/image18.emf"/><Relationship Id="rId40" Type="http://schemas.openxmlformats.org/officeDocument/2006/relationships/control" Target="../activeX/activeX20.xml"/><Relationship Id="rId45" Type="http://schemas.openxmlformats.org/officeDocument/2006/relationships/image" Target="../media/image22.emf"/><Relationship Id="rId53" Type="http://schemas.openxmlformats.org/officeDocument/2006/relationships/image" Target="../media/image26.emf"/><Relationship Id="rId58" Type="http://schemas.openxmlformats.org/officeDocument/2006/relationships/control" Target="../activeX/activeX29.xml"/><Relationship Id="rId66" Type="http://schemas.openxmlformats.org/officeDocument/2006/relationships/control" Target="../activeX/activeX33.xml"/><Relationship Id="rId74" Type="http://schemas.openxmlformats.org/officeDocument/2006/relationships/control" Target="../activeX/activeX37.xml"/><Relationship Id="rId79" Type="http://schemas.openxmlformats.org/officeDocument/2006/relationships/image" Target="../media/image39.emf"/><Relationship Id="rId87" Type="http://schemas.openxmlformats.org/officeDocument/2006/relationships/ctrlProp" Target="../ctrlProps/ctrlProp2.xml"/><Relationship Id="rId102" Type="http://schemas.openxmlformats.org/officeDocument/2006/relationships/ctrlProp" Target="../ctrlProps/ctrlProp17.xml"/><Relationship Id="rId5" Type="http://schemas.openxmlformats.org/officeDocument/2006/relationships/image" Target="../media/image2.emf"/><Relationship Id="rId61" Type="http://schemas.openxmlformats.org/officeDocument/2006/relationships/image" Target="../media/image30.emf"/><Relationship Id="rId82" Type="http://schemas.openxmlformats.org/officeDocument/2006/relationships/control" Target="../activeX/activeX41.xml"/><Relationship Id="rId90" Type="http://schemas.openxmlformats.org/officeDocument/2006/relationships/ctrlProp" Target="../ctrlProps/ctrlProp5.xml"/><Relationship Id="rId95" Type="http://schemas.openxmlformats.org/officeDocument/2006/relationships/ctrlProp" Target="../ctrlProps/ctrlProp10.xml"/><Relationship Id="rId19" Type="http://schemas.openxmlformats.org/officeDocument/2006/relationships/image" Target="../media/image9.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3.emf"/><Relationship Id="rId30" Type="http://schemas.openxmlformats.org/officeDocument/2006/relationships/control" Target="../activeX/activeX15.xml"/><Relationship Id="rId35" Type="http://schemas.openxmlformats.org/officeDocument/2006/relationships/image" Target="../media/image17.emf"/><Relationship Id="rId43" Type="http://schemas.openxmlformats.org/officeDocument/2006/relationships/image" Target="../media/image21.emf"/><Relationship Id="rId48" Type="http://schemas.openxmlformats.org/officeDocument/2006/relationships/control" Target="../activeX/activeX24.xml"/><Relationship Id="rId56" Type="http://schemas.openxmlformats.org/officeDocument/2006/relationships/control" Target="../activeX/activeX28.xml"/><Relationship Id="rId64" Type="http://schemas.openxmlformats.org/officeDocument/2006/relationships/control" Target="../activeX/activeX32.xml"/><Relationship Id="rId69" Type="http://schemas.openxmlformats.org/officeDocument/2006/relationships/image" Target="../media/image34.emf"/><Relationship Id="rId77" Type="http://schemas.openxmlformats.org/officeDocument/2006/relationships/image" Target="../media/image38.emf"/><Relationship Id="rId100" Type="http://schemas.openxmlformats.org/officeDocument/2006/relationships/ctrlProp" Target="../ctrlProps/ctrlProp15.xml"/><Relationship Id="rId105" Type="http://schemas.openxmlformats.org/officeDocument/2006/relationships/ctrlProp" Target="../ctrlProps/ctrlProp20.xml"/><Relationship Id="rId8" Type="http://schemas.openxmlformats.org/officeDocument/2006/relationships/control" Target="../activeX/activeX4.xml"/><Relationship Id="rId51" Type="http://schemas.openxmlformats.org/officeDocument/2006/relationships/image" Target="../media/image25.emf"/><Relationship Id="rId72" Type="http://schemas.openxmlformats.org/officeDocument/2006/relationships/control" Target="../activeX/activeX36.xml"/><Relationship Id="rId80" Type="http://schemas.openxmlformats.org/officeDocument/2006/relationships/control" Target="../activeX/activeX40.xml"/><Relationship Id="rId85" Type="http://schemas.openxmlformats.org/officeDocument/2006/relationships/image" Target="../media/image42.emf"/><Relationship Id="rId93" Type="http://schemas.openxmlformats.org/officeDocument/2006/relationships/ctrlProp" Target="../ctrlProps/ctrlProp8.xml"/><Relationship Id="rId98" Type="http://schemas.openxmlformats.org/officeDocument/2006/relationships/ctrlProp" Target="../ctrlProps/ctrlProp13.xml"/><Relationship Id="rId3" Type="http://schemas.openxmlformats.org/officeDocument/2006/relationships/vmlDrawing" Target="../drawings/vmlDrawing2.vml"/><Relationship Id="rId12" Type="http://schemas.openxmlformats.org/officeDocument/2006/relationships/control" Target="../activeX/activeX6.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19.xml"/><Relationship Id="rId46" Type="http://schemas.openxmlformats.org/officeDocument/2006/relationships/control" Target="../activeX/activeX23.xml"/><Relationship Id="rId59" Type="http://schemas.openxmlformats.org/officeDocument/2006/relationships/image" Target="../media/image29.emf"/><Relationship Id="rId67" Type="http://schemas.openxmlformats.org/officeDocument/2006/relationships/image" Target="../media/image33.emf"/><Relationship Id="rId103" Type="http://schemas.openxmlformats.org/officeDocument/2006/relationships/ctrlProp" Target="../ctrlProps/ctrlProp18.xml"/><Relationship Id="rId20" Type="http://schemas.openxmlformats.org/officeDocument/2006/relationships/control" Target="../activeX/activeX10.xml"/><Relationship Id="rId41" Type="http://schemas.openxmlformats.org/officeDocument/2006/relationships/image" Target="../media/image20.emf"/><Relationship Id="rId54" Type="http://schemas.openxmlformats.org/officeDocument/2006/relationships/control" Target="../activeX/activeX27.xml"/><Relationship Id="rId62" Type="http://schemas.openxmlformats.org/officeDocument/2006/relationships/control" Target="../activeX/activeX31.xml"/><Relationship Id="rId70" Type="http://schemas.openxmlformats.org/officeDocument/2006/relationships/control" Target="../activeX/activeX35.xml"/><Relationship Id="rId75" Type="http://schemas.openxmlformats.org/officeDocument/2006/relationships/image" Target="../media/image37.emf"/><Relationship Id="rId83" Type="http://schemas.openxmlformats.org/officeDocument/2006/relationships/image" Target="../media/image41.emf"/><Relationship Id="rId88" Type="http://schemas.openxmlformats.org/officeDocument/2006/relationships/ctrlProp" Target="../ctrlProps/ctrlProp3.xml"/><Relationship Id="rId91" Type="http://schemas.openxmlformats.org/officeDocument/2006/relationships/ctrlProp" Target="../ctrlProps/ctrlProp6.xml"/><Relationship Id="rId96" Type="http://schemas.openxmlformats.org/officeDocument/2006/relationships/ctrlProp" Target="../ctrlProps/ctrlProp11.xml"/><Relationship Id="rId1" Type="http://schemas.openxmlformats.org/officeDocument/2006/relationships/printerSettings" Target="../printerSettings/printerSettings3.bin"/><Relationship Id="rId6" Type="http://schemas.openxmlformats.org/officeDocument/2006/relationships/control" Target="../activeX/activeX3.xml"/><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4.xml"/><Relationship Id="rId36" Type="http://schemas.openxmlformats.org/officeDocument/2006/relationships/control" Target="../activeX/activeX18.xml"/><Relationship Id="rId49" Type="http://schemas.openxmlformats.org/officeDocument/2006/relationships/image" Target="../media/image24.emf"/><Relationship Id="rId57" Type="http://schemas.openxmlformats.org/officeDocument/2006/relationships/image" Target="../media/image28.emf"/><Relationship Id="rId106" Type="http://schemas.openxmlformats.org/officeDocument/2006/relationships/ctrlProp" Target="../ctrlProps/ctrlProp21.xml"/><Relationship Id="rId10" Type="http://schemas.openxmlformats.org/officeDocument/2006/relationships/control" Target="../activeX/activeX5.xml"/><Relationship Id="rId31" Type="http://schemas.openxmlformats.org/officeDocument/2006/relationships/image" Target="../media/image15.emf"/><Relationship Id="rId44" Type="http://schemas.openxmlformats.org/officeDocument/2006/relationships/control" Target="../activeX/activeX22.xml"/><Relationship Id="rId52" Type="http://schemas.openxmlformats.org/officeDocument/2006/relationships/control" Target="../activeX/activeX26.xml"/><Relationship Id="rId60" Type="http://schemas.openxmlformats.org/officeDocument/2006/relationships/control" Target="../activeX/activeX30.xml"/><Relationship Id="rId65" Type="http://schemas.openxmlformats.org/officeDocument/2006/relationships/image" Target="../media/image32.emf"/><Relationship Id="rId73" Type="http://schemas.openxmlformats.org/officeDocument/2006/relationships/image" Target="../media/image36.emf"/><Relationship Id="rId78" Type="http://schemas.openxmlformats.org/officeDocument/2006/relationships/control" Target="../activeX/activeX39.xml"/><Relationship Id="rId81" Type="http://schemas.openxmlformats.org/officeDocument/2006/relationships/image" Target="../media/image40.emf"/><Relationship Id="rId86" Type="http://schemas.openxmlformats.org/officeDocument/2006/relationships/ctrlProp" Target="../ctrlProps/ctrlProp1.xml"/><Relationship Id="rId94" Type="http://schemas.openxmlformats.org/officeDocument/2006/relationships/ctrlProp" Target="../ctrlProps/ctrlProp9.xml"/><Relationship Id="rId99" Type="http://schemas.openxmlformats.org/officeDocument/2006/relationships/ctrlProp" Target="../ctrlProps/ctrlProp14.xml"/><Relationship Id="rId101" Type="http://schemas.openxmlformats.org/officeDocument/2006/relationships/ctrlProp" Target="../ctrlProps/ctrlProp16.xml"/><Relationship Id="rId4" Type="http://schemas.openxmlformats.org/officeDocument/2006/relationships/control" Target="../activeX/activeX2.xml"/><Relationship Id="rId9" Type="http://schemas.openxmlformats.org/officeDocument/2006/relationships/image" Target="../media/image4.emf"/><Relationship Id="rId13" Type="http://schemas.openxmlformats.org/officeDocument/2006/relationships/image" Target="../media/image6.emf"/><Relationship Id="rId18" Type="http://schemas.openxmlformats.org/officeDocument/2006/relationships/control" Target="../activeX/activeX9.xml"/><Relationship Id="rId39" Type="http://schemas.openxmlformats.org/officeDocument/2006/relationships/image" Target="../media/image19.emf"/><Relationship Id="rId34" Type="http://schemas.openxmlformats.org/officeDocument/2006/relationships/control" Target="../activeX/activeX17.xml"/><Relationship Id="rId50" Type="http://schemas.openxmlformats.org/officeDocument/2006/relationships/control" Target="../activeX/activeX25.xml"/><Relationship Id="rId55" Type="http://schemas.openxmlformats.org/officeDocument/2006/relationships/image" Target="../media/image27.emf"/><Relationship Id="rId76" Type="http://schemas.openxmlformats.org/officeDocument/2006/relationships/control" Target="../activeX/activeX38.xml"/><Relationship Id="rId97" Type="http://schemas.openxmlformats.org/officeDocument/2006/relationships/ctrlProp" Target="../ctrlProps/ctrlProp12.xml"/><Relationship Id="rId10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Z247"/>
  <sheetViews>
    <sheetView zoomScale="70" zoomScaleNormal="70" workbookViewId="0">
      <selection activeCell="B6" sqref="B6"/>
    </sheetView>
  </sheetViews>
  <sheetFormatPr defaultRowHeight="14.25" x14ac:dyDescent="0.3"/>
  <cols>
    <col min="1" max="1" width="0.7109375" style="3" customWidth="1"/>
    <col min="2" max="2" width="26.7109375" style="3" customWidth="1"/>
    <col min="3" max="4" width="11.85546875" style="3" hidden="1" customWidth="1"/>
    <col min="5" max="12" width="9.7109375" style="3" customWidth="1"/>
    <col min="13" max="13" width="9.7109375" style="3" hidden="1" customWidth="1"/>
    <col min="14" max="16" width="9.7109375" style="3" customWidth="1"/>
    <col min="17" max="17" width="9.7109375" style="3" hidden="1" customWidth="1"/>
    <col min="18" max="23" width="9.7109375" style="3" customWidth="1"/>
    <col min="24" max="24" width="9.7109375" style="2" customWidth="1"/>
    <col min="25" max="25" width="13.42578125" style="3" hidden="1" customWidth="1"/>
    <col min="26" max="26" width="27.42578125" style="3" customWidth="1"/>
    <col min="27" max="16384" width="9.140625" style="3"/>
  </cols>
  <sheetData>
    <row r="1" spans="2:26" ht="4.5" customHeight="1" thickBot="1" x14ac:dyDescent="0.35"/>
    <row r="2" spans="2:26" ht="21.75" customHeight="1" thickBot="1" x14ac:dyDescent="0.4">
      <c r="B2" s="96" t="s">
        <v>115</v>
      </c>
      <c r="C2" s="5"/>
      <c r="D2" s="6"/>
      <c r="E2" s="103" t="s">
        <v>109</v>
      </c>
      <c r="F2" s="104"/>
      <c r="G2" s="104"/>
      <c r="H2" s="105"/>
      <c r="I2" s="103" t="s">
        <v>110</v>
      </c>
      <c r="J2" s="104"/>
      <c r="K2" s="104"/>
      <c r="L2" s="105"/>
      <c r="M2" s="103" t="s">
        <v>111</v>
      </c>
      <c r="N2" s="104"/>
      <c r="O2" s="104"/>
      <c r="P2" s="105"/>
      <c r="Q2" s="103" t="s">
        <v>112</v>
      </c>
      <c r="R2" s="104"/>
      <c r="S2" s="104"/>
      <c r="T2" s="105"/>
      <c r="U2" s="103" t="s">
        <v>113</v>
      </c>
      <c r="V2" s="104"/>
      <c r="W2" s="104"/>
      <c r="X2" s="98" t="s">
        <v>124</v>
      </c>
      <c r="Y2" s="10" t="s">
        <v>123</v>
      </c>
      <c r="Z2" s="100" t="s">
        <v>126</v>
      </c>
    </row>
    <row r="3" spans="2:26" ht="15" customHeight="1" thickBot="1" x14ac:dyDescent="0.4">
      <c r="B3" s="97"/>
      <c r="C3" s="78"/>
      <c r="D3" s="78"/>
      <c r="E3" s="9" t="s">
        <v>8</v>
      </c>
      <c r="F3" s="9" t="s">
        <v>9</v>
      </c>
      <c r="G3" s="9" t="s">
        <v>10</v>
      </c>
      <c r="H3" s="9" t="s">
        <v>11</v>
      </c>
      <c r="I3" s="9" t="s">
        <v>12</v>
      </c>
      <c r="J3" s="9" t="s">
        <v>13</v>
      </c>
      <c r="K3" s="9" t="s">
        <v>14</v>
      </c>
      <c r="L3" s="9" t="s">
        <v>15</v>
      </c>
      <c r="M3" s="9" t="s">
        <v>12</v>
      </c>
      <c r="N3" s="9" t="s">
        <v>13</v>
      </c>
      <c r="O3" s="9" t="s">
        <v>14</v>
      </c>
      <c r="P3" s="9" t="s">
        <v>15</v>
      </c>
      <c r="Q3" s="9" t="s">
        <v>12</v>
      </c>
      <c r="R3" s="9" t="s">
        <v>13</v>
      </c>
      <c r="S3" s="9" t="s">
        <v>14</v>
      </c>
      <c r="T3" s="9" t="s">
        <v>15</v>
      </c>
      <c r="U3" s="9" t="s">
        <v>12</v>
      </c>
      <c r="V3" s="9" t="s">
        <v>13</v>
      </c>
      <c r="W3" s="9" t="s">
        <v>14</v>
      </c>
      <c r="X3" s="99"/>
      <c r="Y3" s="79"/>
      <c r="Z3" s="101"/>
    </row>
    <row r="4" spans="2:26" ht="17.25" thickBot="1" x14ac:dyDescent="0.4">
      <c r="B4" s="75" t="s">
        <v>114</v>
      </c>
      <c r="C4" s="7"/>
      <c r="D4" s="8"/>
      <c r="E4" s="85" t="s">
        <v>131</v>
      </c>
      <c r="F4" s="86">
        <v>0</v>
      </c>
      <c r="G4" s="86">
        <v>0</v>
      </c>
      <c r="H4" s="86">
        <v>0</v>
      </c>
      <c r="I4" s="86">
        <v>1</v>
      </c>
      <c r="J4" s="86">
        <v>8</v>
      </c>
      <c r="K4" s="86">
        <v>8</v>
      </c>
      <c r="L4" s="86">
        <v>10</v>
      </c>
      <c r="M4" s="86" t="s">
        <v>154</v>
      </c>
      <c r="N4" s="86">
        <v>11</v>
      </c>
      <c r="O4" s="86">
        <v>11</v>
      </c>
      <c r="P4" s="86">
        <v>5</v>
      </c>
      <c r="Q4" s="86" t="s">
        <v>154</v>
      </c>
      <c r="R4" s="86">
        <v>3</v>
      </c>
      <c r="S4" s="86">
        <v>3</v>
      </c>
      <c r="T4" s="86">
        <v>0</v>
      </c>
      <c r="U4" s="86">
        <v>2</v>
      </c>
      <c r="V4" s="86">
        <v>4</v>
      </c>
      <c r="W4" s="86">
        <v>2</v>
      </c>
      <c r="X4" s="80" t="s">
        <v>155</v>
      </c>
      <c r="Y4" s="14">
        <v>20</v>
      </c>
      <c r="Z4" s="102"/>
    </row>
    <row r="5" spans="2:26" ht="15" thickBot="1" x14ac:dyDescent="0.35">
      <c r="B5" s="81" t="s">
        <v>95</v>
      </c>
      <c r="C5" s="3" t="s">
        <v>96</v>
      </c>
      <c r="D5" s="3" t="s">
        <v>97</v>
      </c>
      <c r="E5" s="82" t="s">
        <v>98</v>
      </c>
      <c r="F5" s="83" t="s">
        <v>0</v>
      </c>
      <c r="G5" s="83" t="s">
        <v>1</v>
      </c>
      <c r="H5" s="83" t="s">
        <v>99</v>
      </c>
      <c r="I5" s="83" t="s">
        <v>100</v>
      </c>
      <c r="J5" s="83" t="s">
        <v>2</v>
      </c>
      <c r="K5" s="83" t="s">
        <v>3</v>
      </c>
      <c r="L5" s="83" t="s">
        <v>102</v>
      </c>
      <c r="M5" s="83" t="s">
        <v>101</v>
      </c>
      <c r="N5" s="83" t="s">
        <v>4</v>
      </c>
      <c r="O5" s="83" t="s">
        <v>5</v>
      </c>
      <c r="P5" s="83" t="s">
        <v>103</v>
      </c>
      <c r="Q5" s="83" t="s">
        <v>104</v>
      </c>
      <c r="R5" s="83" t="s">
        <v>105</v>
      </c>
      <c r="S5" s="83" t="s">
        <v>106</v>
      </c>
      <c r="T5" s="83" t="s">
        <v>107</v>
      </c>
      <c r="U5" s="83" t="s">
        <v>108</v>
      </c>
      <c r="V5" s="83" t="s">
        <v>6</v>
      </c>
      <c r="W5" s="83" t="s">
        <v>7</v>
      </c>
      <c r="X5" s="84" t="s">
        <v>127</v>
      </c>
      <c r="Y5" s="3" t="s">
        <v>128</v>
      </c>
      <c r="Z5" s="81" t="s">
        <v>125</v>
      </c>
    </row>
    <row r="6" spans="2:26" x14ac:dyDescent="0.3">
      <c r="B6" s="76" t="s">
        <v>16</v>
      </c>
      <c r="C6" s="3" t="s">
        <v>116</v>
      </c>
      <c r="D6" s="3" t="s">
        <v>81</v>
      </c>
      <c r="E6" s="27"/>
      <c r="G6" s="3" t="s">
        <v>17</v>
      </c>
      <c r="H6" s="28" t="s">
        <v>17</v>
      </c>
      <c r="J6" s="3" t="s">
        <v>17</v>
      </c>
      <c r="K6" s="3" t="s">
        <v>17</v>
      </c>
      <c r="L6" s="28" t="s">
        <v>17</v>
      </c>
      <c r="P6" s="28"/>
      <c r="R6" s="3" t="s">
        <v>17</v>
      </c>
      <c r="S6" s="3" t="s">
        <v>17</v>
      </c>
      <c r="T6" s="28"/>
      <c r="W6" s="28"/>
      <c r="X6" s="2">
        <v>12</v>
      </c>
      <c r="Y6" s="3">
        <v>10</v>
      </c>
    </row>
    <row r="7" spans="2:26" x14ac:dyDescent="0.3">
      <c r="B7" s="76" t="s">
        <v>18</v>
      </c>
      <c r="C7" s="3" t="s">
        <v>116</v>
      </c>
      <c r="D7" s="3" t="s">
        <v>92</v>
      </c>
      <c r="E7" s="27" t="s">
        <v>17</v>
      </c>
      <c r="H7" s="28"/>
      <c r="I7" s="3" t="s">
        <v>17</v>
      </c>
      <c r="J7" s="3" t="s">
        <v>17</v>
      </c>
      <c r="K7" s="3" t="s">
        <v>17</v>
      </c>
      <c r="L7" s="28"/>
      <c r="O7" s="3" t="s">
        <v>17</v>
      </c>
      <c r="P7" s="28"/>
      <c r="T7" s="28"/>
      <c r="V7" s="3" t="s">
        <v>17</v>
      </c>
      <c r="W7" s="28"/>
      <c r="X7" s="2">
        <v>12</v>
      </c>
      <c r="Y7" s="3">
        <v>10</v>
      </c>
    </row>
    <row r="8" spans="2:26" x14ac:dyDescent="0.3">
      <c r="B8" s="76" t="s">
        <v>19</v>
      </c>
      <c r="C8" s="3" t="s">
        <v>116</v>
      </c>
      <c r="D8" s="3" t="s">
        <v>89</v>
      </c>
      <c r="E8" s="27"/>
      <c r="G8" s="3" t="s">
        <v>17</v>
      </c>
      <c r="H8" s="28" t="s">
        <v>17</v>
      </c>
      <c r="L8" s="28"/>
      <c r="P8" s="28"/>
      <c r="S8" s="3" t="s">
        <v>17</v>
      </c>
      <c r="T8" s="28" t="s">
        <v>17</v>
      </c>
      <c r="U8" s="3" t="s">
        <v>17</v>
      </c>
      <c r="V8" s="3" t="s">
        <v>17</v>
      </c>
      <c r="W8" s="28"/>
      <c r="X8" s="2">
        <v>10</v>
      </c>
      <c r="Y8" s="3">
        <v>10</v>
      </c>
    </row>
    <row r="9" spans="2:26" hidden="1" x14ac:dyDescent="0.3">
      <c r="B9" s="76" t="s">
        <v>81</v>
      </c>
      <c r="C9" s="3" t="s">
        <v>119</v>
      </c>
      <c r="D9" s="3" t="s">
        <v>93</v>
      </c>
      <c r="E9" s="27" t="s">
        <v>17</v>
      </c>
      <c r="F9" s="3" t="s">
        <v>17</v>
      </c>
      <c r="G9" s="3" t="s">
        <v>17</v>
      </c>
      <c r="H9" s="28"/>
      <c r="J9" s="3" t="s">
        <v>17</v>
      </c>
      <c r="K9" s="3" t="s">
        <v>17</v>
      </c>
      <c r="L9" s="28"/>
      <c r="P9" s="28"/>
      <c r="T9" s="28"/>
      <c r="U9" s="3" t="s">
        <v>17</v>
      </c>
      <c r="V9" s="3" t="s">
        <v>17</v>
      </c>
      <c r="W9" s="28" t="s">
        <v>17</v>
      </c>
      <c r="X9" s="2">
        <v>16</v>
      </c>
      <c r="Y9" s="3">
        <v>14</v>
      </c>
    </row>
    <row r="10" spans="2:26" x14ac:dyDescent="0.3">
      <c r="B10" s="76" t="s">
        <v>20</v>
      </c>
      <c r="C10" s="3" t="s">
        <v>116</v>
      </c>
      <c r="D10" s="3" t="s">
        <v>83</v>
      </c>
      <c r="E10" s="27" t="s">
        <v>17</v>
      </c>
      <c r="F10" s="3" t="s">
        <v>17</v>
      </c>
      <c r="G10" s="3" t="s">
        <v>17</v>
      </c>
      <c r="H10" s="28" t="s">
        <v>17</v>
      </c>
      <c r="L10" s="28"/>
      <c r="P10" s="28"/>
      <c r="T10" s="28"/>
      <c r="U10" s="3" t="s">
        <v>17</v>
      </c>
      <c r="V10" s="3" t="s">
        <v>17</v>
      </c>
      <c r="W10" s="28"/>
      <c r="X10" s="2">
        <v>11</v>
      </c>
      <c r="Y10" s="3">
        <v>10</v>
      </c>
    </row>
    <row r="11" spans="2:26" x14ac:dyDescent="0.3">
      <c r="B11" s="76" t="s">
        <v>21</v>
      </c>
      <c r="C11" s="3" t="s">
        <v>116</v>
      </c>
      <c r="D11" s="3" t="s">
        <v>82</v>
      </c>
      <c r="E11" s="27"/>
      <c r="H11" s="28"/>
      <c r="J11" s="3" t="s">
        <v>17</v>
      </c>
      <c r="K11" s="3" t="s">
        <v>17</v>
      </c>
      <c r="L11" s="28"/>
      <c r="O11" s="3" t="s">
        <v>17</v>
      </c>
      <c r="P11" s="28" t="s">
        <v>17</v>
      </c>
      <c r="R11" s="3" t="s">
        <v>17</v>
      </c>
      <c r="S11" s="3" t="s">
        <v>17</v>
      </c>
      <c r="T11" s="28"/>
      <c r="W11" s="28"/>
      <c r="X11" s="2">
        <v>11</v>
      </c>
      <c r="Y11" s="3">
        <v>10</v>
      </c>
    </row>
    <row r="12" spans="2:26" x14ac:dyDescent="0.3">
      <c r="B12" s="76" t="s">
        <v>22</v>
      </c>
      <c r="C12" s="3" t="s">
        <v>116</v>
      </c>
      <c r="D12" s="3" t="s">
        <v>121</v>
      </c>
      <c r="E12" s="27"/>
      <c r="H12" s="28"/>
      <c r="L12" s="28"/>
      <c r="O12" s="3" t="s">
        <v>17</v>
      </c>
      <c r="P12" s="28" t="s">
        <v>17</v>
      </c>
      <c r="R12" s="3" t="s">
        <v>17</v>
      </c>
      <c r="S12" s="3" t="s">
        <v>17</v>
      </c>
      <c r="T12" s="28" t="s">
        <v>17</v>
      </c>
      <c r="V12" s="3" t="s">
        <v>17</v>
      </c>
      <c r="W12" s="28" t="s">
        <v>17</v>
      </c>
      <c r="X12" s="2">
        <v>12</v>
      </c>
      <c r="Y12" s="3">
        <v>10</v>
      </c>
    </row>
    <row r="13" spans="2:26" hidden="1" x14ac:dyDescent="0.3">
      <c r="B13" s="76" t="s">
        <v>82</v>
      </c>
      <c r="C13" s="3" t="s">
        <v>119</v>
      </c>
      <c r="D13" s="3" t="s">
        <v>87</v>
      </c>
      <c r="E13" s="27"/>
      <c r="H13" s="28"/>
      <c r="I13" s="3" t="s">
        <v>17</v>
      </c>
      <c r="J13" s="3" t="s">
        <v>17</v>
      </c>
      <c r="L13" s="28"/>
      <c r="N13" s="3" t="s">
        <v>17</v>
      </c>
      <c r="P13" s="28"/>
      <c r="R13" s="3" t="s">
        <v>17</v>
      </c>
      <c r="S13" s="3" t="s">
        <v>17</v>
      </c>
      <c r="T13" s="28"/>
      <c r="W13" s="28"/>
      <c r="X13" s="2">
        <v>10</v>
      </c>
      <c r="Y13" s="3">
        <v>14</v>
      </c>
    </row>
    <row r="14" spans="2:26" x14ac:dyDescent="0.3">
      <c r="B14" s="76" t="s">
        <v>57</v>
      </c>
      <c r="C14" s="3" t="s">
        <v>117</v>
      </c>
      <c r="D14" s="3" t="s">
        <v>121</v>
      </c>
      <c r="E14" s="27"/>
      <c r="H14" s="28"/>
      <c r="I14" s="3" t="s">
        <v>17</v>
      </c>
      <c r="J14" s="3" t="s">
        <v>17</v>
      </c>
      <c r="K14" s="3" t="s">
        <v>17</v>
      </c>
      <c r="L14" s="28" t="s">
        <v>17</v>
      </c>
      <c r="P14" s="28" t="s">
        <v>17</v>
      </c>
      <c r="T14" s="28"/>
      <c r="W14" s="28"/>
      <c r="X14" s="2">
        <v>8</v>
      </c>
      <c r="Y14" s="3">
        <v>10</v>
      </c>
    </row>
    <row r="15" spans="2:26" x14ac:dyDescent="0.3">
      <c r="B15" s="76" t="s">
        <v>23</v>
      </c>
      <c r="C15" s="3" t="s">
        <v>116</v>
      </c>
      <c r="D15" s="3" t="s">
        <v>121</v>
      </c>
      <c r="E15" s="27"/>
      <c r="H15" s="28"/>
      <c r="K15" s="3" t="s">
        <v>17</v>
      </c>
      <c r="L15" s="28" t="s">
        <v>17</v>
      </c>
      <c r="N15" s="3" t="s">
        <v>17</v>
      </c>
      <c r="O15" s="3" t="s">
        <v>17</v>
      </c>
      <c r="P15" s="28"/>
      <c r="T15" s="28"/>
      <c r="W15" s="28"/>
      <c r="X15" s="2">
        <v>7</v>
      </c>
      <c r="Y15" s="3">
        <v>10</v>
      </c>
    </row>
    <row r="16" spans="2:26" x14ac:dyDescent="0.3">
      <c r="B16" s="76" t="s">
        <v>58</v>
      </c>
      <c r="C16" s="3" t="s">
        <v>117</v>
      </c>
      <c r="D16" s="3" t="s">
        <v>84</v>
      </c>
      <c r="E16" s="27"/>
      <c r="H16" s="28"/>
      <c r="L16" s="28"/>
      <c r="P16" s="28"/>
      <c r="T16" s="28"/>
      <c r="W16" s="28"/>
      <c r="X16" s="2">
        <v>0</v>
      </c>
      <c r="Y16" s="3">
        <v>10</v>
      </c>
    </row>
    <row r="17" spans="2:25" hidden="1" x14ac:dyDescent="0.3">
      <c r="B17" s="76" t="s">
        <v>83</v>
      </c>
      <c r="C17" s="3" t="s">
        <v>119</v>
      </c>
      <c r="D17" s="3" t="s">
        <v>85</v>
      </c>
      <c r="E17" s="27"/>
      <c r="H17" s="28"/>
      <c r="L17" s="28"/>
      <c r="P17" s="28"/>
      <c r="T17" s="28"/>
      <c r="W17" s="28"/>
      <c r="X17" s="2">
        <v>0</v>
      </c>
      <c r="Y17" s="3">
        <v>14</v>
      </c>
    </row>
    <row r="18" spans="2:25" hidden="1" x14ac:dyDescent="0.3">
      <c r="B18" s="76" t="s">
        <v>84</v>
      </c>
      <c r="C18" s="3" t="s">
        <v>119</v>
      </c>
      <c r="D18" s="3" t="s">
        <v>93</v>
      </c>
      <c r="E18" s="27"/>
      <c r="H18" s="28"/>
      <c r="L18" s="28"/>
      <c r="P18" s="28"/>
      <c r="T18" s="28"/>
      <c r="W18" s="28"/>
      <c r="X18" s="2">
        <v>0</v>
      </c>
      <c r="Y18" s="3">
        <v>14</v>
      </c>
    </row>
    <row r="19" spans="2:25" hidden="1" x14ac:dyDescent="0.3">
      <c r="B19" s="76" t="s">
        <v>85</v>
      </c>
      <c r="C19" s="3" t="s">
        <v>120</v>
      </c>
      <c r="D19" s="3" t="s">
        <v>120</v>
      </c>
      <c r="E19" s="27"/>
      <c r="H19" s="28"/>
      <c r="L19" s="28"/>
      <c r="P19" s="28"/>
      <c r="T19" s="28"/>
      <c r="W19" s="28"/>
      <c r="X19" s="2">
        <v>0</v>
      </c>
      <c r="Y19" s="3">
        <v>14</v>
      </c>
    </row>
    <row r="20" spans="2:25" x14ac:dyDescent="0.3">
      <c r="B20" s="76" t="s">
        <v>59</v>
      </c>
      <c r="C20" s="3" t="s">
        <v>117</v>
      </c>
      <c r="D20" s="3" t="s">
        <v>84</v>
      </c>
      <c r="E20" s="27"/>
      <c r="H20" s="28"/>
      <c r="L20" s="28"/>
      <c r="P20" s="28"/>
      <c r="T20" s="28"/>
      <c r="W20" s="28"/>
      <c r="X20" s="2">
        <v>0</v>
      </c>
      <c r="Y20" s="3">
        <v>10</v>
      </c>
    </row>
    <row r="21" spans="2:25" x14ac:dyDescent="0.3">
      <c r="B21" s="76" t="s">
        <v>129</v>
      </c>
      <c r="C21" s="3" t="s">
        <v>116</v>
      </c>
      <c r="D21" s="3" t="s">
        <v>89</v>
      </c>
      <c r="E21" s="27"/>
      <c r="H21" s="28"/>
      <c r="L21" s="28"/>
      <c r="P21" s="28"/>
      <c r="T21" s="28"/>
      <c r="W21" s="28"/>
      <c r="X21" s="2">
        <v>0</v>
      </c>
      <c r="Y21" s="3">
        <v>10</v>
      </c>
    </row>
    <row r="22" spans="2:25" x14ac:dyDescent="0.3">
      <c r="B22" s="76" t="s">
        <v>24</v>
      </c>
      <c r="C22" s="3" t="s">
        <v>116</v>
      </c>
      <c r="D22" s="3" t="s">
        <v>122</v>
      </c>
      <c r="E22" s="27"/>
      <c r="H22" s="28"/>
      <c r="L22" s="28"/>
      <c r="P22" s="28"/>
      <c r="T22" s="28"/>
      <c r="W22" s="28"/>
      <c r="X22" s="2">
        <v>0</v>
      </c>
      <c r="Y22" s="3">
        <v>10</v>
      </c>
    </row>
    <row r="23" spans="2:25" x14ac:dyDescent="0.3">
      <c r="B23" s="76" t="s">
        <v>60</v>
      </c>
      <c r="C23" s="3" t="s">
        <v>117</v>
      </c>
      <c r="D23" s="3" t="s">
        <v>88</v>
      </c>
      <c r="E23" s="27"/>
      <c r="H23" s="28"/>
      <c r="L23" s="28"/>
      <c r="P23" s="28"/>
      <c r="T23" s="28"/>
      <c r="W23" s="28"/>
      <c r="X23" s="2">
        <v>0</v>
      </c>
      <c r="Y23" s="3">
        <v>10</v>
      </c>
    </row>
    <row r="24" spans="2:25" x14ac:dyDescent="0.3">
      <c r="B24" s="76" t="s">
        <v>25</v>
      </c>
      <c r="C24" s="3" t="s">
        <v>116</v>
      </c>
      <c r="D24" s="3" t="s">
        <v>83</v>
      </c>
      <c r="E24" s="27"/>
      <c r="H24" s="28"/>
      <c r="L24" s="28"/>
      <c r="P24" s="28"/>
      <c r="T24" s="28"/>
      <c r="W24" s="28"/>
      <c r="X24" s="2">
        <v>0</v>
      </c>
      <c r="Y24" s="3">
        <v>10</v>
      </c>
    </row>
    <row r="25" spans="2:25" x14ac:dyDescent="0.3">
      <c r="B25" s="76" t="s">
        <v>61</v>
      </c>
      <c r="C25" s="3" t="s">
        <v>117</v>
      </c>
      <c r="D25" s="3" t="s">
        <v>94</v>
      </c>
      <c r="E25" s="27"/>
      <c r="H25" s="28"/>
      <c r="L25" s="28"/>
      <c r="P25" s="28"/>
      <c r="T25" s="28"/>
      <c r="W25" s="28"/>
      <c r="X25" s="2">
        <v>0</v>
      </c>
      <c r="Y25" s="3">
        <v>10</v>
      </c>
    </row>
    <row r="26" spans="2:25" x14ac:dyDescent="0.3">
      <c r="B26" s="76" t="s">
        <v>26</v>
      </c>
      <c r="C26" s="3" t="s">
        <v>116</v>
      </c>
      <c r="D26" s="3" t="s">
        <v>91</v>
      </c>
      <c r="E26" s="27"/>
      <c r="H26" s="28"/>
      <c r="L26" s="28"/>
      <c r="P26" s="28"/>
      <c r="T26" s="28"/>
      <c r="W26" s="28"/>
      <c r="X26" s="2">
        <v>0</v>
      </c>
      <c r="Y26" s="3">
        <v>10</v>
      </c>
    </row>
    <row r="27" spans="2:25" x14ac:dyDescent="0.3">
      <c r="B27" s="76" t="s">
        <v>62</v>
      </c>
      <c r="C27" s="3" t="s">
        <v>117</v>
      </c>
      <c r="D27" s="3" t="s">
        <v>81</v>
      </c>
      <c r="E27" s="27"/>
      <c r="H27" s="28"/>
      <c r="L27" s="28"/>
      <c r="P27" s="28"/>
      <c r="T27" s="28"/>
      <c r="W27" s="28"/>
      <c r="X27" s="2">
        <v>0</v>
      </c>
      <c r="Y27" s="3">
        <v>10</v>
      </c>
    </row>
    <row r="28" spans="2:25" hidden="1" x14ac:dyDescent="0.3">
      <c r="B28" s="76" t="s">
        <v>86</v>
      </c>
      <c r="C28" s="3" t="s">
        <v>119</v>
      </c>
      <c r="D28" s="3" t="s">
        <v>93</v>
      </c>
      <c r="E28" s="27"/>
      <c r="H28" s="28"/>
      <c r="L28" s="28"/>
      <c r="P28" s="28"/>
      <c r="T28" s="28"/>
      <c r="W28" s="28"/>
      <c r="X28" s="2">
        <v>0</v>
      </c>
      <c r="Y28" s="3">
        <v>14</v>
      </c>
    </row>
    <row r="29" spans="2:25" hidden="1" x14ac:dyDescent="0.3">
      <c r="B29" s="76" t="s">
        <v>121</v>
      </c>
      <c r="C29" s="3" t="s">
        <v>119</v>
      </c>
      <c r="D29" s="3" t="s">
        <v>85</v>
      </c>
      <c r="E29" s="27"/>
      <c r="H29" s="28"/>
      <c r="L29" s="28"/>
      <c r="P29" s="28"/>
      <c r="T29" s="28"/>
      <c r="W29" s="28"/>
      <c r="X29" s="2">
        <v>0</v>
      </c>
      <c r="Y29" s="3">
        <v>14</v>
      </c>
    </row>
    <row r="30" spans="2:25" x14ac:dyDescent="0.3">
      <c r="B30" s="76" t="s">
        <v>27</v>
      </c>
      <c r="C30" s="3" t="s">
        <v>116</v>
      </c>
      <c r="D30" s="3" t="s">
        <v>89</v>
      </c>
      <c r="E30" s="27"/>
      <c r="H30" s="28"/>
      <c r="L30" s="28"/>
      <c r="P30" s="28"/>
      <c r="T30" s="28"/>
      <c r="W30" s="28"/>
      <c r="X30" s="2">
        <v>0</v>
      </c>
      <c r="Y30" s="3">
        <v>10</v>
      </c>
    </row>
    <row r="31" spans="2:25" x14ac:dyDescent="0.3">
      <c r="B31" s="76" t="s">
        <v>28</v>
      </c>
      <c r="C31" s="3" t="s">
        <v>116</v>
      </c>
      <c r="D31" s="3" t="s">
        <v>94</v>
      </c>
      <c r="E31" s="27"/>
      <c r="H31" s="28"/>
      <c r="L31" s="28"/>
      <c r="P31" s="28"/>
      <c r="T31" s="28"/>
      <c r="W31" s="28"/>
      <c r="X31" s="2">
        <v>0</v>
      </c>
      <c r="Y31" s="3">
        <v>10</v>
      </c>
    </row>
    <row r="32" spans="2:25" hidden="1" x14ac:dyDescent="0.3">
      <c r="B32" s="76" t="s">
        <v>77</v>
      </c>
      <c r="C32" s="3" t="s">
        <v>118</v>
      </c>
      <c r="D32" s="3" t="s">
        <v>88</v>
      </c>
      <c r="E32" s="27"/>
      <c r="H32" s="28"/>
      <c r="L32" s="28"/>
      <c r="P32" s="28"/>
      <c r="T32" s="28"/>
      <c r="W32" s="28"/>
      <c r="X32" s="2">
        <v>0</v>
      </c>
      <c r="Y32" s="3">
        <v>12</v>
      </c>
    </row>
    <row r="33" spans="2:25" x14ac:dyDescent="0.3">
      <c r="B33" s="76" t="s">
        <v>29</v>
      </c>
      <c r="C33" s="3" t="s">
        <v>116</v>
      </c>
      <c r="D33" s="3" t="s">
        <v>81</v>
      </c>
      <c r="E33" s="27"/>
      <c r="H33" s="28"/>
      <c r="L33" s="28"/>
      <c r="P33" s="28"/>
      <c r="T33" s="28"/>
      <c r="W33" s="28"/>
      <c r="X33" s="2">
        <v>0</v>
      </c>
      <c r="Y33" s="3">
        <v>10</v>
      </c>
    </row>
    <row r="34" spans="2:25" x14ac:dyDescent="0.3">
      <c r="B34" s="76" t="s">
        <v>30</v>
      </c>
      <c r="C34" s="3" t="s">
        <v>116</v>
      </c>
      <c r="D34" s="3" t="s">
        <v>91</v>
      </c>
      <c r="E34" s="27"/>
      <c r="H34" s="28"/>
      <c r="L34" s="28"/>
      <c r="P34" s="28"/>
      <c r="T34" s="28"/>
      <c r="W34" s="28"/>
      <c r="X34" s="2">
        <v>0</v>
      </c>
      <c r="Y34" s="3">
        <v>10</v>
      </c>
    </row>
    <row r="35" spans="2:25" hidden="1" x14ac:dyDescent="0.3">
      <c r="B35" s="76" t="s">
        <v>78</v>
      </c>
      <c r="C35" s="3" t="s">
        <v>118</v>
      </c>
      <c r="D35" s="3" t="s">
        <v>90</v>
      </c>
      <c r="E35" s="27"/>
      <c r="H35" s="28"/>
      <c r="L35" s="28"/>
      <c r="P35" s="28"/>
      <c r="T35" s="28"/>
      <c r="W35" s="28"/>
      <c r="X35" s="2">
        <v>0</v>
      </c>
      <c r="Y35" s="3">
        <v>12</v>
      </c>
    </row>
    <row r="36" spans="2:25" x14ac:dyDescent="0.3">
      <c r="B36" s="76" t="s">
        <v>31</v>
      </c>
      <c r="C36" s="3" t="s">
        <v>116</v>
      </c>
      <c r="D36" s="3" t="s">
        <v>83</v>
      </c>
      <c r="E36" s="27"/>
      <c r="H36" s="28"/>
      <c r="L36" s="28"/>
      <c r="P36" s="28"/>
      <c r="T36" s="28"/>
      <c r="W36" s="28"/>
      <c r="X36" s="2">
        <v>0</v>
      </c>
      <c r="Y36" s="3">
        <v>10</v>
      </c>
    </row>
    <row r="37" spans="2:25" x14ac:dyDescent="0.3">
      <c r="B37" s="76" t="s">
        <v>63</v>
      </c>
      <c r="C37" s="3" t="s">
        <v>117</v>
      </c>
      <c r="D37" s="3" t="s">
        <v>122</v>
      </c>
      <c r="E37" s="27"/>
      <c r="H37" s="28"/>
      <c r="L37" s="28"/>
      <c r="P37" s="28"/>
      <c r="T37" s="28"/>
      <c r="W37" s="28"/>
      <c r="X37" s="2">
        <v>0</v>
      </c>
      <c r="Y37" s="3">
        <v>10</v>
      </c>
    </row>
    <row r="38" spans="2:25" x14ac:dyDescent="0.3">
      <c r="B38" s="76" t="s">
        <v>32</v>
      </c>
      <c r="C38" s="3" t="s">
        <v>116</v>
      </c>
      <c r="D38" s="3" t="s">
        <v>82</v>
      </c>
      <c r="E38" s="27"/>
      <c r="H38" s="28"/>
      <c r="L38" s="28"/>
      <c r="P38" s="28"/>
      <c r="T38" s="28"/>
      <c r="W38" s="28"/>
      <c r="X38" s="2">
        <v>0</v>
      </c>
      <c r="Y38" s="3">
        <v>10</v>
      </c>
    </row>
    <row r="39" spans="2:25" x14ac:dyDescent="0.3">
      <c r="B39" s="76" t="s">
        <v>64</v>
      </c>
      <c r="C39" s="3" t="s">
        <v>117</v>
      </c>
      <c r="D39" s="3" t="s">
        <v>90</v>
      </c>
      <c r="E39" s="27"/>
      <c r="H39" s="28"/>
      <c r="L39" s="28"/>
      <c r="P39" s="28"/>
      <c r="T39" s="28"/>
      <c r="W39" s="28"/>
      <c r="X39" s="2">
        <v>0</v>
      </c>
      <c r="Y39" s="3">
        <v>10</v>
      </c>
    </row>
    <row r="40" spans="2:25" x14ac:dyDescent="0.3">
      <c r="B40" s="76" t="s">
        <v>65</v>
      </c>
      <c r="C40" s="3" t="s">
        <v>117</v>
      </c>
      <c r="D40" s="3" t="s">
        <v>82</v>
      </c>
      <c r="E40" s="27"/>
      <c r="H40" s="28"/>
      <c r="L40" s="28"/>
      <c r="P40" s="28"/>
      <c r="T40" s="28"/>
      <c r="W40" s="28"/>
      <c r="X40" s="2">
        <v>0</v>
      </c>
      <c r="Y40" s="3">
        <v>10</v>
      </c>
    </row>
    <row r="41" spans="2:25" hidden="1" x14ac:dyDescent="0.3">
      <c r="B41" s="76" t="s">
        <v>79</v>
      </c>
      <c r="C41" s="3" t="s">
        <v>118</v>
      </c>
      <c r="D41" s="3" t="s">
        <v>83</v>
      </c>
      <c r="E41" s="27"/>
      <c r="H41" s="28"/>
      <c r="L41" s="28"/>
      <c r="P41" s="28"/>
      <c r="T41" s="28"/>
      <c r="W41" s="28"/>
      <c r="X41" s="2">
        <v>0</v>
      </c>
      <c r="Y41" s="3">
        <v>12</v>
      </c>
    </row>
    <row r="42" spans="2:25" x14ac:dyDescent="0.3">
      <c r="B42" s="76" t="s">
        <v>66</v>
      </c>
      <c r="C42" s="3" t="s">
        <v>117</v>
      </c>
      <c r="D42" s="3" t="s">
        <v>83</v>
      </c>
      <c r="E42" s="27"/>
      <c r="H42" s="28"/>
      <c r="L42" s="28"/>
      <c r="P42" s="28"/>
      <c r="T42" s="28"/>
      <c r="W42" s="28"/>
      <c r="X42" s="2">
        <v>0</v>
      </c>
      <c r="Y42" s="3">
        <v>10</v>
      </c>
    </row>
    <row r="43" spans="2:25" x14ac:dyDescent="0.3">
      <c r="B43" s="76" t="s">
        <v>33</v>
      </c>
      <c r="C43" s="3" t="s">
        <v>116</v>
      </c>
      <c r="D43" s="3" t="s">
        <v>88</v>
      </c>
      <c r="E43" s="27"/>
      <c r="H43" s="28"/>
      <c r="L43" s="28"/>
      <c r="P43" s="28"/>
      <c r="T43" s="28"/>
      <c r="W43" s="28"/>
      <c r="X43" s="2">
        <v>0</v>
      </c>
      <c r="Y43" s="3">
        <v>10</v>
      </c>
    </row>
    <row r="44" spans="2:25" x14ac:dyDescent="0.3">
      <c r="B44" s="76" t="s">
        <v>67</v>
      </c>
      <c r="C44" s="3" t="s">
        <v>117</v>
      </c>
      <c r="D44" s="3" t="s">
        <v>90</v>
      </c>
      <c r="E44" s="27"/>
      <c r="H44" s="28"/>
      <c r="L44" s="28"/>
      <c r="P44" s="28"/>
      <c r="T44" s="28"/>
      <c r="W44" s="28"/>
      <c r="X44" s="2">
        <v>0</v>
      </c>
      <c r="Y44" s="3">
        <v>10</v>
      </c>
    </row>
    <row r="45" spans="2:25" x14ac:dyDescent="0.3">
      <c r="B45" s="76" t="s">
        <v>34</v>
      </c>
      <c r="C45" s="3" t="s">
        <v>116</v>
      </c>
      <c r="D45" s="3" t="s">
        <v>122</v>
      </c>
      <c r="E45" s="27"/>
      <c r="H45" s="28"/>
      <c r="L45" s="28"/>
      <c r="P45" s="28"/>
      <c r="T45" s="28"/>
      <c r="W45" s="28"/>
      <c r="X45" s="2">
        <v>0</v>
      </c>
      <c r="Y45" s="3">
        <v>10</v>
      </c>
    </row>
    <row r="46" spans="2:25" x14ac:dyDescent="0.3">
      <c r="B46" s="76" t="s">
        <v>35</v>
      </c>
      <c r="C46" s="3" t="s">
        <v>116</v>
      </c>
      <c r="D46" s="3" t="s">
        <v>121</v>
      </c>
      <c r="E46" s="27"/>
      <c r="H46" s="28"/>
      <c r="L46" s="28"/>
      <c r="P46" s="28"/>
      <c r="T46" s="28"/>
      <c r="W46" s="28"/>
      <c r="X46" s="2">
        <v>0</v>
      </c>
      <c r="Y46" s="3">
        <v>10</v>
      </c>
    </row>
    <row r="47" spans="2:25" hidden="1" x14ac:dyDescent="0.3">
      <c r="B47" s="76" t="s">
        <v>80</v>
      </c>
      <c r="C47" s="3" t="s">
        <v>118</v>
      </c>
      <c r="D47" s="3" t="s">
        <v>121</v>
      </c>
      <c r="E47" s="27"/>
      <c r="H47" s="28"/>
      <c r="L47" s="28"/>
      <c r="P47" s="28"/>
      <c r="T47" s="28"/>
      <c r="W47" s="28"/>
      <c r="X47" s="2">
        <v>0</v>
      </c>
      <c r="Y47" s="3">
        <v>12</v>
      </c>
    </row>
    <row r="48" spans="2:25" hidden="1" x14ac:dyDescent="0.3">
      <c r="B48" s="76" t="s">
        <v>87</v>
      </c>
      <c r="C48" s="3" t="s">
        <v>120</v>
      </c>
      <c r="D48" s="3" t="s">
        <v>120</v>
      </c>
      <c r="E48" s="27"/>
      <c r="H48" s="28"/>
      <c r="L48" s="28"/>
      <c r="P48" s="28"/>
      <c r="T48" s="28"/>
      <c r="W48" s="28"/>
      <c r="X48" s="2">
        <v>0</v>
      </c>
      <c r="Y48" s="3">
        <v>14</v>
      </c>
    </row>
    <row r="49" spans="2:25" x14ac:dyDescent="0.3">
      <c r="B49" s="76" t="s">
        <v>36</v>
      </c>
      <c r="C49" s="3" t="s">
        <v>116</v>
      </c>
      <c r="D49" s="3" t="s">
        <v>90</v>
      </c>
      <c r="E49" s="27"/>
      <c r="H49" s="28"/>
      <c r="L49" s="28"/>
      <c r="P49" s="28"/>
      <c r="T49" s="28"/>
      <c r="W49" s="28"/>
      <c r="X49" s="2">
        <v>0</v>
      </c>
      <c r="Y49" s="3">
        <v>10</v>
      </c>
    </row>
    <row r="50" spans="2:25" hidden="1" x14ac:dyDescent="0.3">
      <c r="B50" s="76" t="s">
        <v>88</v>
      </c>
      <c r="C50" s="3" t="s">
        <v>119</v>
      </c>
      <c r="D50" s="3" t="s">
        <v>85</v>
      </c>
      <c r="E50" s="27"/>
      <c r="H50" s="28"/>
      <c r="L50" s="28"/>
      <c r="P50" s="28"/>
      <c r="T50" s="28"/>
      <c r="W50" s="28"/>
      <c r="X50" s="2">
        <v>0</v>
      </c>
      <c r="Y50" s="3">
        <v>14</v>
      </c>
    </row>
    <row r="51" spans="2:25" hidden="1" x14ac:dyDescent="0.3">
      <c r="B51" s="76" t="s">
        <v>89</v>
      </c>
      <c r="C51" s="3" t="s">
        <v>119</v>
      </c>
      <c r="D51" s="3" t="s">
        <v>87</v>
      </c>
      <c r="E51" s="27"/>
      <c r="H51" s="28"/>
      <c r="L51" s="28"/>
      <c r="P51" s="28"/>
      <c r="T51" s="28"/>
      <c r="W51" s="28"/>
      <c r="X51" s="2">
        <v>0</v>
      </c>
      <c r="Y51" s="3">
        <v>14</v>
      </c>
    </row>
    <row r="52" spans="2:25" x14ac:dyDescent="0.3">
      <c r="B52" s="76" t="s">
        <v>37</v>
      </c>
      <c r="C52" s="3" t="s">
        <v>116</v>
      </c>
      <c r="D52" s="3" t="s">
        <v>84</v>
      </c>
      <c r="E52" s="27"/>
      <c r="H52" s="28"/>
      <c r="L52" s="28"/>
      <c r="P52" s="28"/>
      <c r="T52" s="28"/>
      <c r="W52" s="28"/>
      <c r="X52" s="2">
        <v>0</v>
      </c>
      <c r="Y52" s="3">
        <v>10</v>
      </c>
    </row>
    <row r="53" spans="2:25" x14ac:dyDescent="0.3">
      <c r="B53" s="76" t="s">
        <v>68</v>
      </c>
      <c r="C53" s="3" t="s">
        <v>117</v>
      </c>
      <c r="D53" s="3" t="s">
        <v>82</v>
      </c>
      <c r="E53" s="27"/>
      <c r="H53" s="28"/>
      <c r="L53" s="28"/>
      <c r="P53" s="28"/>
      <c r="T53" s="28"/>
      <c r="W53" s="28"/>
      <c r="X53" s="2">
        <v>0</v>
      </c>
      <c r="Y53" s="3">
        <v>10</v>
      </c>
    </row>
    <row r="54" spans="2:25" hidden="1" x14ac:dyDescent="0.3">
      <c r="B54" s="76" t="s">
        <v>90</v>
      </c>
      <c r="C54" s="3" t="s">
        <v>119</v>
      </c>
      <c r="D54" s="3" t="s">
        <v>87</v>
      </c>
      <c r="E54" s="27"/>
      <c r="H54" s="28"/>
      <c r="L54" s="28"/>
      <c r="P54" s="28"/>
      <c r="T54" s="28"/>
      <c r="W54" s="28"/>
      <c r="X54" s="2">
        <v>0</v>
      </c>
      <c r="Y54" s="3">
        <v>14</v>
      </c>
    </row>
    <row r="55" spans="2:25" x14ac:dyDescent="0.3">
      <c r="B55" s="76" t="s">
        <v>38</v>
      </c>
      <c r="C55" s="3" t="s">
        <v>116</v>
      </c>
      <c r="D55" s="3" t="s">
        <v>121</v>
      </c>
      <c r="E55" s="27"/>
      <c r="H55" s="28"/>
      <c r="L55" s="28"/>
      <c r="P55" s="28"/>
      <c r="T55" s="28"/>
      <c r="W55" s="28"/>
      <c r="X55" s="2">
        <v>0</v>
      </c>
      <c r="Y55" s="3">
        <v>10</v>
      </c>
    </row>
    <row r="56" spans="2:25" x14ac:dyDescent="0.3">
      <c r="B56" s="76" t="s">
        <v>69</v>
      </c>
      <c r="C56" s="3" t="s">
        <v>117</v>
      </c>
      <c r="D56" s="3" t="s">
        <v>92</v>
      </c>
      <c r="E56" s="27"/>
      <c r="H56" s="28"/>
      <c r="L56" s="28"/>
      <c r="P56" s="28"/>
      <c r="T56" s="28"/>
      <c r="W56" s="28"/>
      <c r="X56" s="2">
        <v>0</v>
      </c>
      <c r="Y56" s="3">
        <v>10</v>
      </c>
    </row>
    <row r="57" spans="2:25" x14ac:dyDescent="0.3">
      <c r="B57" s="76" t="s">
        <v>39</v>
      </c>
      <c r="C57" s="3" t="s">
        <v>116</v>
      </c>
      <c r="D57" s="3" t="s">
        <v>81</v>
      </c>
      <c r="E57" s="27"/>
      <c r="H57" s="28"/>
      <c r="L57" s="28"/>
      <c r="P57" s="28"/>
      <c r="T57" s="28"/>
      <c r="W57" s="28"/>
      <c r="X57" s="2">
        <v>0</v>
      </c>
      <c r="Y57" s="3">
        <v>10</v>
      </c>
    </row>
    <row r="58" spans="2:25" x14ac:dyDescent="0.3">
      <c r="B58" s="76" t="s">
        <v>40</v>
      </c>
      <c r="C58" s="3" t="s">
        <v>116</v>
      </c>
      <c r="D58" s="3" t="s">
        <v>92</v>
      </c>
      <c r="E58" s="27"/>
      <c r="H58" s="28"/>
      <c r="L58" s="28"/>
      <c r="P58" s="28"/>
      <c r="T58" s="28"/>
      <c r="W58" s="28"/>
      <c r="X58" s="2">
        <v>0</v>
      </c>
      <c r="Y58" s="3">
        <v>10</v>
      </c>
    </row>
    <row r="59" spans="2:25" x14ac:dyDescent="0.3">
      <c r="B59" s="76" t="s">
        <v>41</v>
      </c>
      <c r="C59" s="3" t="s">
        <v>116</v>
      </c>
      <c r="D59" s="3" t="s">
        <v>122</v>
      </c>
      <c r="E59" s="27"/>
      <c r="H59" s="28"/>
      <c r="L59" s="28"/>
      <c r="P59" s="28"/>
      <c r="T59" s="28"/>
      <c r="W59" s="28"/>
      <c r="X59" s="2">
        <v>0</v>
      </c>
      <c r="Y59" s="3">
        <v>10</v>
      </c>
    </row>
    <row r="60" spans="2:25" x14ac:dyDescent="0.3">
      <c r="B60" s="76" t="s">
        <v>42</v>
      </c>
      <c r="C60" s="3" t="s">
        <v>116</v>
      </c>
      <c r="D60" s="3" t="s">
        <v>88</v>
      </c>
      <c r="E60" s="27"/>
      <c r="H60" s="28"/>
      <c r="L60" s="28"/>
      <c r="P60" s="28"/>
      <c r="T60" s="28"/>
      <c r="W60" s="28"/>
      <c r="X60" s="2">
        <v>0</v>
      </c>
      <c r="Y60" s="3">
        <v>10</v>
      </c>
    </row>
    <row r="61" spans="2:25" x14ac:dyDescent="0.3">
      <c r="B61" s="76" t="s">
        <v>43</v>
      </c>
      <c r="C61" s="3" t="s">
        <v>116</v>
      </c>
      <c r="D61" s="3" t="s">
        <v>91</v>
      </c>
      <c r="E61" s="27"/>
      <c r="H61" s="28"/>
      <c r="L61" s="28"/>
      <c r="P61" s="28"/>
      <c r="T61" s="28"/>
      <c r="W61" s="28"/>
      <c r="X61" s="2">
        <v>0</v>
      </c>
      <c r="Y61" s="3">
        <v>10</v>
      </c>
    </row>
    <row r="62" spans="2:25" x14ac:dyDescent="0.3">
      <c r="B62" s="76" t="s">
        <v>70</v>
      </c>
      <c r="C62" s="3" t="s">
        <v>117</v>
      </c>
      <c r="D62" s="3" t="s">
        <v>92</v>
      </c>
      <c r="E62" s="27"/>
      <c r="H62" s="28"/>
      <c r="L62" s="28"/>
      <c r="P62" s="28"/>
      <c r="T62" s="28"/>
      <c r="W62" s="28"/>
      <c r="X62" s="2">
        <v>0</v>
      </c>
      <c r="Y62" s="3">
        <v>10</v>
      </c>
    </row>
    <row r="63" spans="2:25" hidden="1" x14ac:dyDescent="0.3">
      <c r="B63" s="76" t="s">
        <v>91</v>
      </c>
      <c r="C63" s="3" t="s">
        <v>119</v>
      </c>
      <c r="D63" s="3" t="s">
        <v>85</v>
      </c>
      <c r="E63" s="27"/>
      <c r="H63" s="28"/>
      <c r="L63" s="28"/>
      <c r="P63" s="28"/>
      <c r="T63" s="28"/>
      <c r="W63" s="28"/>
      <c r="X63" s="2">
        <v>0</v>
      </c>
      <c r="Y63" s="3">
        <v>14</v>
      </c>
    </row>
    <row r="64" spans="2:25" x14ac:dyDescent="0.3">
      <c r="B64" s="76" t="s">
        <v>71</v>
      </c>
      <c r="C64" s="3" t="s">
        <v>117</v>
      </c>
      <c r="D64" s="3" t="s">
        <v>91</v>
      </c>
      <c r="E64" s="27"/>
      <c r="H64" s="28"/>
      <c r="L64" s="28"/>
      <c r="P64" s="28"/>
      <c r="T64" s="28"/>
      <c r="W64" s="28"/>
      <c r="X64" s="2">
        <v>0</v>
      </c>
      <c r="Y64" s="3">
        <v>10</v>
      </c>
    </row>
    <row r="65" spans="2:25" x14ac:dyDescent="0.3">
      <c r="B65" s="76" t="s">
        <v>44</v>
      </c>
      <c r="C65" s="3" t="s">
        <v>116</v>
      </c>
      <c r="D65" s="3" t="s">
        <v>94</v>
      </c>
      <c r="E65" s="27"/>
      <c r="H65" s="28"/>
      <c r="L65" s="28"/>
      <c r="P65" s="28"/>
      <c r="T65" s="28"/>
      <c r="W65" s="28"/>
      <c r="X65" s="2">
        <v>0</v>
      </c>
      <c r="Y65" s="3">
        <v>10</v>
      </c>
    </row>
    <row r="66" spans="2:25" x14ac:dyDescent="0.3">
      <c r="B66" s="76" t="s">
        <v>45</v>
      </c>
      <c r="C66" s="3" t="s">
        <v>116</v>
      </c>
      <c r="D66" s="3" t="s">
        <v>92</v>
      </c>
      <c r="E66" s="27"/>
      <c r="H66" s="28"/>
      <c r="L66" s="28"/>
      <c r="P66" s="28"/>
      <c r="T66" s="28"/>
      <c r="W66" s="28"/>
      <c r="X66" s="2">
        <v>0</v>
      </c>
      <c r="Y66" s="3">
        <v>10</v>
      </c>
    </row>
    <row r="67" spans="2:25" x14ac:dyDescent="0.3">
      <c r="B67" s="76" t="s">
        <v>46</v>
      </c>
      <c r="C67" s="3" t="s">
        <v>116</v>
      </c>
      <c r="D67" s="3" t="s">
        <v>94</v>
      </c>
      <c r="E67" s="27"/>
      <c r="H67" s="28"/>
      <c r="L67" s="28"/>
      <c r="P67" s="28"/>
      <c r="T67" s="28"/>
      <c r="W67" s="28"/>
      <c r="X67" s="2">
        <v>0</v>
      </c>
      <c r="Y67" s="3">
        <v>10</v>
      </c>
    </row>
    <row r="68" spans="2:25" hidden="1" x14ac:dyDescent="0.3">
      <c r="B68" s="76" t="s">
        <v>92</v>
      </c>
      <c r="C68" s="3" t="s">
        <v>119</v>
      </c>
      <c r="D68" s="3" t="s">
        <v>87</v>
      </c>
      <c r="E68" s="27"/>
      <c r="H68" s="28"/>
      <c r="L68" s="28"/>
      <c r="P68" s="28"/>
      <c r="T68" s="28"/>
      <c r="W68" s="28"/>
      <c r="X68" s="2">
        <v>0</v>
      </c>
      <c r="Y68" s="3">
        <v>14</v>
      </c>
    </row>
    <row r="69" spans="2:25" x14ac:dyDescent="0.3">
      <c r="B69" s="76" t="s">
        <v>72</v>
      </c>
      <c r="C69" s="3" t="s">
        <v>117</v>
      </c>
      <c r="D69" s="3" t="s">
        <v>84</v>
      </c>
      <c r="E69" s="27"/>
      <c r="H69" s="28"/>
      <c r="L69" s="28"/>
      <c r="P69" s="28"/>
      <c r="T69" s="28"/>
      <c r="W69" s="28"/>
      <c r="X69" s="2">
        <v>0</v>
      </c>
      <c r="Y69" s="3">
        <v>10</v>
      </c>
    </row>
    <row r="70" spans="2:25" x14ac:dyDescent="0.3">
      <c r="B70" s="76" t="s">
        <v>47</v>
      </c>
      <c r="C70" s="3" t="s">
        <v>116</v>
      </c>
      <c r="D70" s="3" t="s">
        <v>88</v>
      </c>
      <c r="E70" s="27"/>
      <c r="H70" s="28"/>
      <c r="L70" s="28"/>
      <c r="P70" s="28"/>
      <c r="T70" s="28"/>
      <c r="W70" s="28"/>
      <c r="X70" s="2">
        <v>0</v>
      </c>
      <c r="Y70" s="3">
        <v>10</v>
      </c>
    </row>
    <row r="71" spans="2:25" x14ac:dyDescent="0.3">
      <c r="B71" s="76" t="s">
        <v>48</v>
      </c>
      <c r="C71" s="3" t="s">
        <v>116</v>
      </c>
      <c r="D71" s="3" t="s">
        <v>89</v>
      </c>
      <c r="E71" s="27"/>
      <c r="H71" s="28"/>
      <c r="L71" s="28"/>
      <c r="P71" s="28"/>
      <c r="T71" s="28"/>
      <c r="W71" s="28"/>
      <c r="X71" s="2">
        <v>0</v>
      </c>
      <c r="Y71" s="3">
        <v>10</v>
      </c>
    </row>
    <row r="72" spans="2:25" x14ac:dyDescent="0.3">
      <c r="B72" s="76" t="s">
        <v>49</v>
      </c>
      <c r="C72" s="3" t="s">
        <v>116</v>
      </c>
      <c r="D72" s="3" t="s">
        <v>94</v>
      </c>
      <c r="E72" s="27"/>
      <c r="H72" s="28"/>
      <c r="L72" s="28"/>
      <c r="P72" s="28"/>
      <c r="T72" s="28"/>
      <c r="W72" s="28"/>
      <c r="X72" s="2">
        <v>0</v>
      </c>
      <c r="Y72" s="3">
        <v>10</v>
      </c>
    </row>
    <row r="73" spans="2:25" x14ac:dyDescent="0.3">
      <c r="B73" s="76" t="s">
        <v>50</v>
      </c>
      <c r="C73" s="3" t="s">
        <v>116</v>
      </c>
      <c r="D73" s="3" t="s">
        <v>84</v>
      </c>
      <c r="E73" s="27"/>
      <c r="H73" s="28"/>
      <c r="L73" s="28"/>
      <c r="P73" s="28"/>
      <c r="T73" s="28"/>
      <c r="W73" s="28"/>
      <c r="X73" s="2">
        <v>0</v>
      </c>
      <c r="Y73" s="3">
        <v>10</v>
      </c>
    </row>
    <row r="74" spans="2:25" x14ac:dyDescent="0.3">
      <c r="B74" s="76" t="s">
        <v>73</v>
      </c>
      <c r="C74" s="3" t="s">
        <v>117</v>
      </c>
      <c r="D74" s="3" t="s">
        <v>84</v>
      </c>
      <c r="E74" s="27"/>
      <c r="H74" s="28"/>
      <c r="L74" s="28"/>
      <c r="P74" s="28"/>
      <c r="T74" s="28"/>
      <c r="W74" s="28"/>
      <c r="X74" s="2">
        <v>0</v>
      </c>
      <c r="Y74" s="3">
        <v>10</v>
      </c>
    </row>
    <row r="75" spans="2:25" x14ac:dyDescent="0.3">
      <c r="B75" s="76" t="s">
        <v>51</v>
      </c>
      <c r="C75" s="3" t="s">
        <v>116</v>
      </c>
      <c r="D75" s="3" t="s">
        <v>91</v>
      </c>
      <c r="E75" s="27"/>
      <c r="H75" s="28"/>
      <c r="L75" s="28"/>
      <c r="P75" s="28"/>
      <c r="T75" s="28"/>
      <c r="W75" s="28"/>
      <c r="X75" s="2">
        <v>0</v>
      </c>
      <c r="Y75" s="3">
        <v>10</v>
      </c>
    </row>
    <row r="76" spans="2:25" x14ac:dyDescent="0.3">
      <c r="B76" s="76" t="s">
        <v>52</v>
      </c>
      <c r="C76" s="3" t="s">
        <v>116</v>
      </c>
      <c r="D76" s="3" t="s">
        <v>122</v>
      </c>
      <c r="E76" s="27"/>
      <c r="H76" s="28"/>
      <c r="L76" s="28"/>
      <c r="P76" s="28"/>
      <c r="T76" s="28"/>
      <c r="W76" s="28"/>
      <c r="X76" s="2">
        <v>0</v>
      </c>
      <c r="Y76" s="3">
        <v>10</v>
      </c>
    </row>
    <row r="77" spans="2:25" hidden="1" x14ac:dyDescent="0.3">
      <c r="B77" s="76" t="s">
        <v>93</v>
      </c>
      <c r="C77" s="3" t="s">
        <v>120</v>
      </c>
      <c r="D77" s="3" t="s">
        <v>120</v>
      </c>
      <c r="E77" s="27"/>
      <c r="H77" s="28"/>
      <c r="L77" s="28"/>
      <c r="P77" s="28"/>
      <c r="T77" s="28"/>
      <c r="W77" s="28"/>
      <c r="X77" s="2">
        <v>0</v>
      </c>
      <c r="Y77" s="3">
        <v>14</v>
      </c>
    </row>
    <row r="78" spans="2:25" hidden="1" x14ac:dyDescent="0.3">
      <c r="B78" s="76" t="s">
        <v>94</v>
      </c>
      <c r="C78" s="3" t="s">
        <v>119</v>
      </c>
      <c r="D78" s="3" t="s">
        <v>93</v>
      </c>
      <c r="E78" s="27"/>
      <c r="H78" s="28"/>
      <c r="L78" s="28"/>
      <c r="P78" s="28"/>
      <c r="T78" s="28"/>
      <c r="W78" s="28"/>
      <c r="X78" s="2">
        <v>0</v>
      </c>
      <c r="Y78" s="3">
        <v>14</v>
      </c>
    </row>
    <row r="79" spans="2:25" x14ac:dyDescent="0.3">
      <c r="B79" s="76" t="s">
        <v>74</v>
      </c>
      <c r="C79" s="3" t="s">
        <v>117</v>
      </c>
      <c r="D79" s="3" t="s">
        <v>94</v>
      </c>
      <c r="E79" s="27"/>
      <c r="H79" s="28"/>
      <c r="L79" s="28"/>
      <c r="P79" s="28"/>
      <c r="T79" s="28"/>
      <c r="W79" s="28"/>
      <c r="X79" s="2">
        <v>0</v>
      </c>
      <c r="Y79" s="3">
        <v>10</v>
      </c>
    </row>
    <row r="80" spans="2:25" x14ac:dyDescent="0.3">
      <c r="B80" s="76" t="s">
        <v>53</v>
      </c>
      <c r="C80" s="3" t="s">
        <v>116</v>
      </c>
      <c r="D80" s="3" t="s">
        <v>91</v>
      </c>
      <c r="E80" s="27"/>
      <c r="H80" s="28"/>
      <c r="L80" s="28"/>
      <c r="P80" s="28"/>
      <c r="T80" s="28"/>
      <c r="W80" s="28"/>
      <c r="X80" s="2">
        <v>0</v>
      </c>
      <c r="Y80" s="3">
        <v>10</v>
      </c>
    </row>
    <row r="81" spans="2:26" x14ac:dyDescent="0.3">
      <c r="B81" s="76" t="s">
        <v>75</v>
      </c>
      <c r="C81" s="3" t="s">
        <v>117</v>
      </c>
      <c r="D81" s="3" t="s">
        <v>89</v>
      </c>
      <c r="E81" s="27"/>
      <c r="H81" s="28"/>
      <c r="L81" s="28"/>
      <c r="P81" s="28"/>
      <c r="T81" s="28"/>
      <c r="W81" s="28"/>
      <c r="X81" s="2">
        <v>0</v>
      </c>
      <c r="Y81" s="3">
        <v>10</v>
      </c>
    </row>
    <row r="82" spans="2:26" x14ac:dyDescent="0.3">
      <c r="B82" s="76" t="s">
        <v>76</v>
      </c>
      <c r="C82" s="3" t="s">
        <v>117</v>
      </c>
      <c r="D82" s="3" t="s">
        <v>82</v>
      </c>
      <c r="E82" s="27"/>
      <c r="H82" s="28"/>
      <c r="L82" s="28"/>
      <c r="P82" s="28"/>
      <c r="T82" s="28"/>
      <c r="W82" s="28"/>
      <c r="X82" s="2">
        <v>0</v>
      </c>
      <c r="Y82" s="3">
        <v>10</v>
      </c>
    </row>
    <row r="83" spans="2:26" x14ac:dyDescent="0.3">
      <c r="B83" s="76" t="s">
        <v>54</v>
      </c>
      <c r="C83" s="3" t="s">
        <v>116</v>
      </c>
      <c r="D83" s="3" t="s">
        <v>84</v>
      </c>
      <c r="E83" s="27"/>
      <c r="H83" s="28"/>
      <c r="L83" s="28"/>
      <c r="P83" s="28"/>
      <c r="T83" s="28"/>
      <c r="W83" s="28"/>
      <c r="X83" s="2">
        <v>0</v>
      </c>
      <c r="Y83" s="3">
        <v>10</v>
      </c>
    </row>
    <row r="84" spans="2:26" x14ac:dyDescent="0.3">
      <c r="B84" s="76" t="s">
        <v>55</v>
      </c>
      <c r="C84" s="3" t="s">
        <v>116</v>
      </c>
      <c r="D84" s="3" t="s">
        <v>81</v>
      </c>
      <c r="E84" s="27"/>
      <c r="H84" s="28"/>
      <c r="L84" s="28"/>
      <c r="P84" s="28"/>
      <c r="T84" s="28"/>
      <c r="W84" s="28"/>
      <c r="X84" s="2">
        <v>0</v>
      </c>
      <c r="Y84" s="3">
        <v>10</v>
      </c>
    </row>
    <row r="85" spans="2:26" x14ac:dyDescent="0.3">
      <c r="B85" s="76" t="s">
        <v>56</v>
      </c>
      <c r="C85" s="3" t="s">
        <v>116</v>
      </c>
      <c r="D85" s="3" t="s">
        <v>92</v>
      </c>
      <c r="E85" s="27"/>
      <c r="H85" s="28"/>
      <c r="L85" s="28"/>
      <c r="P85" s="28"/>
      <c r="T85" s="28"/>
      <c r="W85" s="28"/>
      <c r="X85" s="2">
        <v>0</v>
      </c>
      <c r="Y85" s="3">
        <v>10</v>
      </c>
    </row>
    <row r="86" spans="2:26" x14ac:dyDescent="0.3">
      <c r="B86" s="3" t="s">
        <v>130</v>
      </c>
      <c r="E86" s="3">
        <f>SUBTOTAL(103,CSchedule_C[SE])</f>
        <v>2</v>
      </c>
      <c r="F86" s="3">
        <f>SUBTOTAL(103,CSchedule_C[S1])</f>
        <v>1</v>
      </c>
      <c r="G86" s="3">
        <f>SUBTOTAL(103,CSchedule_C[S2])</f>
        <v>3</v>
      </c>
      <c r="H86" s="3">
        <f>SUBTOTAL(103,CSchedule_C[SP])</f>
        <v>3</v>
      </c>
      <c r="I86" s="3">
        <f>SUBTOTAL(103,CSchedule_C[TE])</f>
        <v>2</v>
      </c>
      <c r="J86" s="3">
        <f>SUBTOTAL(103,CSchedule_C[T1])</f>
        <v>4</v>
      </c>
      <c r="K86" s="3">
        <f>SUBTOTAL(103,CSchedule_C[T2])</f>
        <v>5</v>
      </c>
      <c r="L86" s="3">
        <f>SUBTOTAL(103,CSchedule_C[TP])</f>
        <v>3</v>
      </c>
      <c r="M86" s="3">
        <f>SUBTOTAL(103,CSchedule_C[WE])</f>
        <v>0</v>
      </c>
      <c r="N86" s="3">
        <f>SUBTOTAL(103,CSchedule_C[W1])</f>
        <v>1</v>
      </c>
      <c r="O86" s="3">
        <f>SUBTOTAL(103,CSchedule_C[W2])</f>
        <v>4</v>
      </c>
      <c r="P86" s="3">
        <f>SUBTOTAL(103,CSchedule_C[WP])</f>
        <v>3</v>
      </c>
      <c r="Q86" s="3">
        <f>SUBTOTAL(103,CSchedule_C[ThE])</f>
        <v>0</v>
      </c>
      <c r="R86" s="3">
        <f>SUBTOTAL(103,CSchedule_C[Th1])</f>
        <v>3</v>
      </c>
      <c r="S86" s="3">
        <f>SUBTOTAL(103,CSchedule_C[Th2])</f>
        <v>4</v>
      </c>
      <c r="T86" s="3">
        <f>SUBTOTAL(103,CSchedule_C[ThP])</f>
        <v>2</v>
      </c>
      <c r="U86" s="3">
        <f>SUBTOTAL(103,CSchedule_C[FE])</f>
        <v>2</v>
      </c>
      <c r="V86" s="3">
        <f>SUBTOTAL(103,CSchedule_C[F1])</f>
        <v>4</v>
      </c>
      <c r="W86" s="3">
        <f>SUBTOTAL(103,CSchedule_C[F2])</f>
        <v>1</v>
      </c>
    </row>
    <row r="87" spans="2:26" ht="14.25" hidden="1" customHeight="1" x14ac:dyDescent="0.3">
      <c r="B87" s="3" t="s">
        <v>95</v>
      </c>
      <c r="C87" s="3" t="s">
        <v>96</v>
      </c>
      <c r="D87" s="3" t="s">
        <v>97</v>
      </c>
      <c r="E87" s="2" t="s">
        <v>98</v>
      </c>
      <c r="F87" s="2" t="s">
        <v>0</v>
      </c>
      <c r="G87" s="2" t="s">
        <v>1</v>
      </c>
      <c r="H87" s="2" t="s">
        <v>99</v>
      </c>
      <c r="I87" s="2" t="s">
        <v>100</v>
      </c>
      <c r="J87" s="2" t="s">
        <v>2</v>
      </c>
      <c r="K87" s="2" t="s">
        <v>3</v>
      </c>
      <c r="L87" s="2" t="s">
        <v>102</v>
      </c>
      <c r="M87" s="2" t="s">
        <v>101</v>
      </c>
      <c r="N87" s="2" t="s">
        <v>4</v>
      </c>
      <c r="O87" s="2" t="s">
        <v>5</v>
      </c>
      <c r="P87" s="2" t="s">
        <v>103</v>
      </c>
      <c r="Q87" s="2" t="s">
        <v>104</v>
      </c>
      <c r="R87" s="2" t="s">
        <v>105</v>
      </c>
      <c r="S87" s="2" t="s">
        <v>106</v>
      </c>
      <c r="T87" s="2" t="s">
        <v>107</v>
      </c>
      <c r="U87" s="2" t="s">
        <v>108</v>
      </c>
      <c r="V87" s="2" t="s">
        <v>6</v>
      </c>
      <c r="W87" s="2" t="s">
        <v>7</v>
      </c>
      <c r="X87" s="2" t="s">
        <v>127</v>
      </c>
      <c r="Y87" s="3" t="s">
        <v>128</v>
      </c>
      <c r="Z87" s="3" t="s">
        <v>125</v>
      </c>
    </row>
    <row r="88" spans="2:26" hidden="1" x14ac:dyDescent="0.3">
      <c r="B88" s="76" t="s">
        <v>16</v>
      </c>
      <c r="C88" s="3" t="s">
        <v>116</v>
      </c>
      <c r="D88" s="3" t="s">
        <v>81</v>
      </c>
      <c r="E88" s="27"/>
      <c r="G88" s="3" t="s">
        <v>17</v>
      </c>
      <c r="H88" s="28" t="s">
        <v>17</v>
      </c>
      <c r="J88" s="3" t="s">
        <v>17</v>
      </c>
      <c r="K88" s="3" t="s">
        <v>17</v>
      </c>
      <c r="L88" s="28" t="s">
        <v>17</v>
      </c>
      <c r="P88" s="28"/>
      <c r="R88" s="3" t="s">
        <v>17</v>
      </c>
      <c r="S88" s="3" t="s">
        <v>17</v>
      </c>
      <c r="T88" s="28"/>
      <c r="W88" s="28"/>
      <c r="X88" s="2">
        <v>12</v>
      </c>
      <c r="Y88" s="3">
        <v>10</v>
      </c>
    </row>
    <row r="89" spans="2:26" hidden="1" x14ac:dyDescent="0.3">
      <c r="B89" s="76" t="s">
        <v>18</v>
      </c>
      <c r="C89" s="3" t="s">
        <v>116</v>
      </c>
      <c r="D89" s="3" t="s">
        <v>92</v>
      </c>
      <c r="E89" s="27" t="s">
        <v>17</v>
      </c>
      <c r="H89" s="28"/>
      <c r="I89" s="3" t="s">
        <v>17</v>
      </c>
      <c r="J89" s="3" t="s">
        <v>17</v>
      </c>
      <c r="K89" s="3" t="s">
        <v>17</v>
      </c>
      <c r="L89" s="28"/>
      <c r="O89" s="3" t="s">
        <v>17</v>
      </c>
      <c r="P89" s="28"/>
      <c r="T89" s="28"/>
      <c r="V89" s="3" t="s">
        <v>17</v>
      </c>
      <c r="W89" s="28"/>
      <c r="X89" s="2">
        <v>12</v>
      </c>
      <c r="Y89" s="3">
        <v>10</v>
      </c>
    </row>
    <row r="90" spans="2:26" hidden="1" x14ac:dyDescent="0.3">
      <c r="B90" s="76" t="s">
        <v>19</v>
      </c>
      <c r="C90" s="3" t="s">
        <v>116</v>
      </c>
      <c r="D90" s="3" t="s">
        <v>89</v>
      </c>
      <c r="E90" s="27"/>
      <c r="G90" s="3" t="s">
        <v>17</v>
      </c>
      <c r="H90" s="28" t="s">
        <v>17</v>
      </c>
      <c r="L90" s="28"/>
      <c r="P90" s="28"/>
      <c r="S90" s="3" t="s">
        <v>17</v>
      </c>
      <c r="T90" s="28" t="s">
        <v>17</v>
      </c>
      <c r="U90" s="3" t="s">
        <v>17</v>
      </c>
      <c r="V90" s="3" t="s">
        <v>17</v>
      </c>
      <c r="W90" s="28"/>
      <c r="X90" s="2">
        <v>10</v>
      </c>
      <c r="Y90" s="3">
        <v>10</v>
      </c>
    </row>
    <row r="91" spans="2:26" hidden="1" x14ac:dyDescent="0.3">
      <c r="B91" s="76" t="s">
        <v>81</v>
      </c>
      <c r="C91" s="3" t="s">
        <v>119</v>
      </c>
      <c r="D91" s="3" t="s">
        <v>93</v>
      </c>
      <c r="E91" s="27" t="s">
        <v>17</v>
      </c>
      <c r="F91" s="3" t="s">
        <v>17</v>
      </c>
      <c r="G91" s="3" t="s">
        <v>17</v>
      </c>
      <c r="H91" s="28"/>
      <c r="J91" s="3" t="s">
        <v>17</v>
      </c>
      <c r="K91" s="3" t="s">
        <v>17</v>
      </c>
      <c r="L91" s="28"/>
      <c r="P91" s="28"/>
      <c r="T91" s="28"/>
      <c r="U91" s="3" t="s">
        <v>17</v>
      </c>
      <c r="V91" s="3" t="s">
        <v>17</v>
      </c>
      <c r="W91" s="28" t="s">
        <v>17</v>
      </c>
      <c r="X91" s="2">
        <v>16</v>
      </c>
      <c r="Y91" s="3">
        <v>14</v>
      </c>
    </row>
    <row r="92" spans="2:26" hidden="1" x14ac:dyDescent="0.3">
      <c r="B92" s="76" t="s">
        <v>20</v>
      </c>
      <c r="C92" s="3" t="s">
        <v>116</v>
      </c>
      <c r="D92" s="3" t="s">
        <v>83</v>
      </c>
      <c r="E92" s="27" t="s">
        <v>17</v>
      </c>
      <c r="F92" s="3" t="s">
        <v>17</v>
      </c>
      <c r="G92" s="3" t="s">
        <v>17</v>
      </c>
      <c r="H92" s="28" t="s">
        <v>17</v>
      </c>
      <c r="L92" s="28"/>
      <c r="P92" s="28"/>
      <c r="T92" s="28"/>
      <c r="U92" s="3" t="s">
        <v>17</v>
      </c>
      <c r="V92" s="3" t="s">
        <v>17</v>
      </c>
      <c r="W92" s="28"/>
      <c r="X92" s="2">
        <v>11</v>
      </c>
      <c r="Y92" s="3">
        <v>10</v>
      </c>
    </row>
    <row r="93" spans="2:26" hidden="1" x14ac:dyDescent="0.3">
      <c r="B93" s="76" t="s">
        <v>21</v>
      </c>
      <c r="C93" s="3" t="s">
        <v>116</v>
      </c>
      <c r="D93" s="3" t="s">
        <v>82</v>
      </c>
      <c r="E93" s="27"/>
      <c r="H93" s="28"/>
      <c r="J93" s="3" t="s">
        <v>17</v>
      </c>
      <c r="K93" s="3" t="s">
        <v>17</v>
      </c>
      <c r="L93" s="28"/>
      <c r="O93" s="3" t="s">
        <v>17</v>
      </c>
      <c r="P93" s="28" t="s">
        <v>17</v>
      </c>
      <c r="R93" s="3" t="s">
        <v>17</v>
      </c>
      <c r="S93" s="3" t="s">
        <v>17</v>
      </c>
      <c r="T93" s="28"/>
      <c r="W93" s="28"/>
      <c r="X93" s="2">
        <v>11</v>
      </c>
      <c r="Y93" s="3">
        <v>10</v>
      </c>
    </row>
    <row r="94" spans="2:26" hidden="1" x14ac:dyDescent="0.3">
      <c r="B94" s="76" t="s">
        <v>22</v>
      </c>
      <c r="C94" s="3" t="s">
        <v>116</v>
      </c>
      <c r="D94" s="3" t="s">
        <v>121</v>
      </c>
      <c r="E94" s="27"/>
      <c r="H94" s="28"/>
      <c r="L94" s="28"/>
      <c r="O94" s="3" t="s">
        <v>17</v>
      </c>
      <c r="P94" s="28" t="s">
        <v>17</v>
      </c>
      <c r="R94" s="3" t="s">
        <v>17</v>
      </c>
      <c r="S94" s="3" t="s">
        <v>17</v>
      </c>
      <c r="T94" s="28" t="s">
        <v>17</v>
      </c>
      <c r="V94" s="3" t="s">
        <v>17</v>
      </c>
      <c r="W94" s="28" t="s">
        <v>17</v>
      </c>
      <c r="X94" s="2">
        <v>12</v>
      </c>
      <c r="Y94" s="3">
        <v>10</v>
      </c>
    </row>
    <row r="95" spans="2:26" hidden="1" x14ac:dyDescent="0.3">
      <c r="B95" s="76" t="s">
        <v>82</v>
      </c>
      <c r="C95" s="3" t="s">
        <v>119</v>
      </c>
      <c r="D95" s="3" t="s">
        <v>87</v>
      </c>
      <c r="E95" s="27"/>
      <c r="H95" s="28"/>
      <c r="I95" s="3" t="s">
        <v>17</v>
      </c>
      <c r="J95" s="3" t="s">
        <v>17</v>
      </c>
      <c r="L95" s="28"/>
      <c r="N95" s="3" t="s">
        <v>17</v>
      </c>
      <c r="P95" s="28"/>
      <c r="R95" s="3" t="s">
        <v>17</v>
      </c>
      <c r="S95" s="3" t="s">
        <v>17</v>
      </c>
      <c r="T95" s="28"/>
      <c r="W95" s="28"/>
      <c r="X95" s="2">
        <v>10</v>
      </c>
      <c r="Y95" s="3">
        <v>14</v>
      </c>
    </row>
    <row r="96" spans="2:26" hidden="1" x14ac:dyDescent="0.3">
      <c r="B96" s="76" t="s">
        <v>57</v>
      </c>
      <c r="C96" s="3" t="s">
        <v>117</v>
      </c>
      <c r="D96" s="3" t="s">
        <v>121</v>
      </c>
      <c r="E96" s="27"/>
      <c r="H96" s="28"/>
      <c r="I96" s="3" t="s">
        <v>17</v>
      </c>
      <c r="J96" s="3" t="s">
        <v>17</v>
      </c>
      <c r="K96" s="3" t="s">
        <v>17</v>
      </c>
      <c r="L96" s="28" t="s">
        <v>17</v>
      </c>
      <c r="P96" s="28" t="s">
        <v>17</v>
      </c>
      <c r="T96" s="28"/>
      <c r="W96" s="28"/>
      <c r="X96" s="2">
        <v>8</v>
      </c>
      <c r="Y96" s="3">
        <v>10</v>
      </c>
    </row>
    <row r="97" spans="2:25" hidden="1" x14ac:dyDescent="0.3">
      <c r="B97" s="76" t="s">
        <v>23</v>
      </c>
      <c r="C97" s="3" t="s">
        <v>116</v>
      </c>
      <c r="D97" s="3" t="s">
        <v>121</v>
      </c>
      <c r="E97" s="27"/>
      <c r="H97" s="28"/>
      <c r="K97" s="3" t="s">
        <v>17</v>
      </c>
      <c r="L97" s="28" t="s">
        <v>17</v>
      </c>
      <c r="N97" s="3" t="s">
        <v>17</v>
      </c>
      <c r="O97" s="3" t="s">
        <v>17</v>
      </c>
      <c r="P97" s="28"/>
      <c r="T97" s="28"/>
      <c r="W97" s="28"/>
      <c r="X97" s="2">
        <v>7</v>
      </c>
      <c r="Y97" s="3">
        <v>10</v>
      </c>
    </row>
    <row r="98" spans="2:25" hidden="1" x14ac:dyDescent="0.3">
      <c r="B98" s="76" t="s">
        <v>58</v>
      </c>
      <c r="C98" s="3" t="s">
        <v>117</v>
      </c>
      <c r="D98" s="3" t="s">
        <v>84</v>
      </c>
      <c r="E98" s="27"/>
      <c r="H98" s="28"/>
      <c r="L98" s="28"/>
      <c r="P98" s="28"/>
      <c r="T98" s="28"/>
      <c r="W98" s="28"/>
      <c r="X98" s="2">
        <v>0</v>
      </c>
      <c r="Y98" s="3">
        <v>10</v>
      </c>
    </row>
    <row r="99" spans="2:25" hidden="1" x14ac:dyDescent="0.3">
      <c r="B99" s="76" t="s">
        <v>83</v>
      </c>
      <c r="C99" s="3" t="s">
        <v>119</v>
      </c>
      <c r="D99" s="3" t="s">
        <v>85</v>
      </c>
      <c r="E99" s="27"/>
      <c r="H99" s="28"/>
      <c r="L99" s="28"/>
      <c r="P99" s="28"/>
      <c r="T99" s="28"/>
      <c r="W99" s="28"/>
      <c r="X99" s="2">
        <v>0</v>
      </c>
      <c r="Y99" s="3">
        <v>14</v>
      </c>
    </row>
    <row r="100" spans="2:25" hidden="1" x14ac:dyDescent="0.3">
      <c r="B100" s="76" t="s">
        <v>84</v>
      </c>
      <c r="C100" s="3" t="s">
        <v>119</v>
      </c>
      <c r="D100" s="3" t="s">
        <v>93</v>
      </c>
      <c r="E100" s="27"/>
      <c r="H100" s="28"/>
      <c r="L100" s="28"/>
      <c r="P100" s="28"/>
      <c r="T100" s="28"/>
      <c r="W100" s="28"/>
      <c r="X100" s="2">
        <v>0</v>
      </c>
      <c r="Y100" s="3">
        <v>14</v>
      </c>
    </row>
    <row r="101" spans="2:25" hidden="1" x14ac:dyDescent="0.3">
      <c r="B101" s="76" t="s">
        <v>85</v>
      </c>
      <c r="C101" s="3" t="s">
        <v>120</v>
      </c>
      <c r="D101" s="3" t="s">
        <v>120</v>
      </c>
      <c r="E101" s="27"/>
      <c r="H101" s="28"/>
      <c r="L101" s="28"/>
      <c r="P101" s="28"/>
      <c r="T101" s="28"/>
      <c r="W101" s="28"/>
      <c r="X101" s="2">
        <v>0</v>
      </c>
      <c r="Y101" s="3">
        <v>14</v>
      </c>
    </row>
    <row r="102" spans="2:25" hidden="1" x14ac:dyDescent="0.3">
      <c r="B102" s="76" t="s">
        <v>59</v>
      </c>
      <c r="C102" s="3" t="s">
        <v>117</v>
      </c>
      <c r="D102" s="3" t="s">
        <v>84</v>
      </c>
      <c r="E102" s="27"/>
      <c r="H102" s="28"/>
      <c r="L102" s="28"/>
      <c r="P102" s="28"/>
      <c r="T102" s="28"/>
      <c r="W102" s="28"/>
      <c r="X102" s="2">
        <v>0</v>
      </c>
      <c r="Y102" s="3">
        <v>10</v>
      </c>
    </row>
    <row r="103" spans="2:25" hidden="1" x14ac:dyDescent="0.3">
      <c r="B103" s="76" t="s">
        <v>129</v>
      </c>
      <c r="C103" s="3" t="s">
        <v>116</v>
      </c>
      <c r="D103" s="3" t="s">
        <v>89</v>
      </c>
      <c r="E103" s="27"/>
      <c r="H103" s="28"/>
      <c r="L103" s="28"/>
      <c r="P103" s="28"/>
      <c r="T103" s="28"/>
      <c r="W103" s="28"/>
      <c r="X103" s="2">
        <v>0</v>
      </c>
      <c r="Y103" s="3">
        <v>10</v>
      </c>
    </row>
    <row r="104" spans="2:25" hidden="1" x14ac:dyDescent="0.3">
      <c r="B104" s="76" t="s">
        <v>24</v>
      </c>
      <c r="C104" s="3" t="s">
        <v>116</v>
      </c>
      <c r="D104" s="3" t="s">
        <v>122</v>
      </c>
      <c r="E104" s="27"/>
      <c r="H104" s="28"/>
      <c r="L104" s="28"/>
      <c r="P104" s="28"/>
      <c r="T104" s="28"/>
      <c r="W104" s="28"/>
      <c r="X104" s="2">
        <v>0</v>
      </c>
      <c r="Y104" s="3">
        <v>10</v>
      </c>
    </row>
    <row r="105" spans="2:25" hidden="1" x14ac:dyDescent="0.3">
      <c r="B105" s="76" t="s">
        <v>60</v>
      </c>
      <c r="C105" s="3" t="s">
        <v>117</v>
      </c>
      <c r="D105" s="3" t="s">
        <v>88</v>
      </c>
      <c r="E105" s="27"/>
      <c r="H105" s="28"/>
      <c r="L105" s="28"/>
      <c r="P105" s="28"/>
      <c r="T105" s="28"/>
      <c r="W105" s="28"/>
      <c r="X105" s="2">
        <v>0</v>
      </c>
      <c r="Y105" s="3">
        <v>10</v>
      </c>
    </row>
    <row r="106" spans="2:25" hidden="1" x14ac:dyDescent="0.3">
      <c r="B106" s="76" t="s">
        <v>25</v>
      </c>
      <c r="C106" s="3" t="s">
        <v>116</v>
      </c>
      <c r="D106" s="3" t="s">
        <v>83</v>
      </c>
      <c r="E106" s="27"/>
      <c r="H106" s="28"/>
      <c r="L106" s="28"/>
      <c r="P106" s="28"/>
      <c r="T106" s="28"/>
      <c r="W106" s="28"/>
      <c r="X106" s="2">
        <v>0</v>
      </c>
      <c r="Y106" s="3">
        <v>10</v>
      </c>
    </row>
    <row r="107" spans="2:25" hidden="1" x14ac:dyDescent="0.3">
      <c r="B107" s="76" t="s">
        <v>61</v>
      </c>
      <c r="C107" s="3" t="s">
        <v>117</v>
      </c>
      <c r="D107" s="3" t="s">
        <v>94</v>
      </c>
      <c r="E107" s="27"/>
      <c r="H107" s="28"/>
      <c r="L107" s="28"/>
      <c r="P107" s="28"/>
      <c r="T107" s="28"/>
      <c r="W107" s="28"/>
      <c r="X107" s="2">
        <v>0</v>
      </c>
      <c r="Y107" s="3">
        <v>10</v>
      </c>
    </row>
    <row r="108" spans="2:25" hidden="1" x14ac:dyDescent="0.3">
      <c r="B108" s="76" t="s">
        <v>26</v>
      </c>
      <c r="C108" s="3" t="s">
        <v>116</v>
      </c>
      <c r="D108" s="3" t="s">
        <v>91</v>
      </c>
      <c r="E108" s="27"/>
      <c r="H108" s="28"/>
      <c r="L108" s="28"/>
      <c r="P108" s="28"/>
      <c r="T108" s="28"/>
      <c r="W108" s="28"/>
      <c r="X108" s="2">
        <v>0</v>
      </c>
      <c r="Y108" s="3">
        <v>10</v>
      </c>
    </row>
    <row r="109" spans="2:25" hidden="1" x14ac:dyDescent="0.3">
      <c r="B109" s="76" t="s">
        <v>62</v>
      </c>
      <c r="C109" s="3" t="s">
        <v>117</v>
      </c>
      <c r="D109" s="3" t="s">
        <v>81</v>
      </c>
      <c r="E109" s="27"/>
      <c r="H109" s="28"/>
      <c r="L109" s="28"/>
      <c r="P109" s="28"/>
      <c r="T109" s="28"/>
      <c r="W109" s="28"/>
      <c r="X109" s="2">
        <v>0</v>
      </c>
      <c r="Y109" s="3">
        <v>10</v>
      </c>
    </row>
    <row r="110" spans="2:25" hidden="1" x14ac:dyDescent="0.3">
      <c r="B110" s="76" t="s">
        <v>86</v>
      </c>
      <c r="C110" s="3" t="s">
        <v>119</v>
      </c>
      <c r="D110" s="3" t="s">
        <v>93</v>
      </c>
      <c r="E110" s="27"/>
      <c r="H110" s="28"/>
      <c r="L110" s="28"/>
      <c r="P110" s="28"/>
      <c r="T110" s="28"/>
      <c r="W110" s="28"/>
      <c r="X110" s="2">
        <v>0</v>
      </c>
      <c r="Y110" s="3">
        <v>14</v>
      </c>
    </row>
    <row r="111" spans="2:25" hidden="1" x14ac:dyDescent="0.3">
      <c r="B111" s="76" t="s">
        <v>121</v>
      </c>
      <c r="C111" s="3" t="s">
        <v>119</v>
      </c>
      <c r="D111" s="3" t="s">
        <v>85</v>
      </c>
      <c r="E111" s="27"/>
      <c r="H111" s="28"/>
      <c r="L111" s="28"/>
      <c r="P111" s="28"/>
      <c r="T111" s="28"/>
      <c r="W111" s="28"/>
      <c r="X111" s="2">
        <v>0</v>
      </c>
      <c r="Y111" s="3">
        <v>14</v>
      </c>
    </row>
    <row r="112" spans="2:25" hidden="1" x14ac:dyDescent="0.3">
      <c r="B112" s="76" t="s">
        <v>27</v>
      </c>
      <c r="C112" s="3" t="s">
        <v>116</v>
      </c>
      <c r="D112" s="3" t="s">
        <v>89</v>
      </c>
      <c r="E112" s="27"/>
      <c r="H112" s="28"/>
      <c r="L112" s="28"/>
      <c r="P112" s="28"/>
      <c r="T112" s="28"/>
      <c r="W112" s="28"/>
      <c r="X112" s="2">
        <v>0</v>
      </c>
      <c r="Y112" s="3">
        <v>10</v>
      </c>
    </row>
    <row r="113" spans="2:25" hidden="1" x14ac:dyDescent="0.3">
      <c r="B113" s="76" t="s">
        <v>28</v>
      </c>
      <c r="C113" s="3" t="s">
        <v>116</v>
      </c>
      <c r="D113" s="3" t="s">
        <v>94</v>
      </c>
      <c r="E113" s="27"/>
      <c r="H113" s="28"/>
      <c r="L113" s="28"/>
      <c r="P113" s="28"/>
      <c r="T113" s="28"/>
      <c r="W113" s="28"/>
      <c r="X113" s="2">
        <v>0</v>
      </c>
      <c r="Y113" s="3">
        <v>10</v>
      </c>
    </row>
    <row r="114" spans="2:25" x14ac:dyDescent="0.3">
      <c r="B114" s="76" t="s">
        <v>77</v>
      </c>
      <c r="C114" s="3" t="s">
        <v>118</v>
      </c>
      <c r="D114" s="3" t="s">
        <v>88</v>
      </c>
      <c r="E114" s="27"/>
      <c r="H114" s="28"/>
      <c r="L114" s="28"/>
      <c r="P114" s="28"/>
      <c r="T114" s="28"/>
      <c r="W114" s="28"/>
      <c r="X114" s="2">
        <v>0</v>
      </c>
      <c r="Y114" s="3">
        <v>12</v>
      </c>
    </row>
    <row r="115" spans="2:25" hidden="1" x14ac:dyDescent="0.3">
      <c r="B115" s="76" t="s">
        <v>29</v>
      </c>
      <c r="C115" s="3" t="s">
        <v>116</v>
      </c>
      <c r="D115" s="3" t="s">
        <v>81</v>
      </c>
      <c r="E115" s="27"/>
      <c r="H115" s="28"/>
      <c r="L115" s="28"/>
      <c r="P115" s="28"/>
      <c r="T115" s="28"/>
      <c r="W115" s="28"/>
      <c r="X115" s="2">
        <v>0</v>
      </c>
      <c r="Y115" s="3">
        <v>10</v>
      </c>
    </row>
    <row r="116" spans="2:25" hidden="1" x14ac:dyDescent="0.3">
      <c r="B116" s="76" t="s">
        <v>30</v>
      </c>
      <c r="C116" s="3" t="s">
        <v>116</v>
      </c>
      <c r="D116" s="3" t="s">
        <v>91</v>
      </c>
      <c r="E116" s="27"/>
      <c r="H116" s="28"/>
      <c r="L116" s="28"/>
      <c r="P116" s="28"/>
      <c r="T116" s="28"/>
      <c r="W116" s="28"/>
      <c r="X116" s="2">
        <v>0</v>
      </c>
      <c r="Y116" s="3">
        <v>10</v>
      </c>
    </row>
    <row r="117" spans="2:25" x14ac:dyDescent="0.3">
      <c r="B117" s="76" t="s">
        <v>78</v>
      </c>
      <c r="C117" s="3" t="s">
        <v>118</v>
      </c>
      <c r="D117" s="3" t="s">
        <v>90</v>
      </c>
      <c r="E117" s="27"/>
      <c r="H117" s="28"/>
      <c r="L117" s="28"/>
      <c r="P117" s="28"/>
      <c r="T117" s="28"/>
      <c r="W117" s="28"/>
      <c r="X117" s="2">
        <v>0</v>
      </c>
      <c r="Y117" s="3">
        <v>12</v>
      </c>
    </row>
    <row r="118" spans="2:25" hidden="1" x14ac:dyDescent="0.3">
      <c r="B118" s="76" t="s">
        <v>31</v>
      </c>
      <c r="C118" s="3" t="s">
        <v>116</v>
      </c>
      <c r="D118" s="3" t="s">
        <v>83</v>
      </c>
      <c r="E118" s="27"/>
      <c r="H118" s="28"/>
      <c r="L118" s="28"/>
      <c r="P118" s="28"/>
      <c r="T118" s="28"/>
      <c r="W118" s="28"/>
      <c r="X118" s="2">
        <v>0</v>
      </c>
      <c r="Y118" s="3">
        <v>10</v>
      </c>
    </row>
    <row r="119" spans="2:25" hidden="1" x14ac:dyDescent="0.3">
      <c r="B119" s="76" t="s">
        <v>63</v>
      </c>
      <c r="C119" s="3" t="s">
        <v>117</v>
      </c>
      <c r="D119" s="3" t="s">
        <v>122</v>
      </c>
      <c r="E119" s="27"/>
      <c r="H119" s="28"/>
      <c r="L119" s="28"/>
      <c r="P119" s="28"/>
      <c r="T119" s="28"/>
      <c r="W119" s="28"/>
      <c r="X119" s="2">
        <v>0</v>
      </c>
      <c r="Y119" s="3">
        <v>10</v>
      </c>
    </row>
    <row r="120" spans="2:25" hidden="1" x14ac:dyDescent="0.3">
      <c r="B120" s="76" t="s">
        <v>32</v>
      </c>
      <c r="C120" s="3" t="s">
        <v>116</v>
      </c>
      <c r="D120" s="3" t="s">
        <v>82</v>
      </c>
      <c r="E120" s="27"/>
      <c r="H120" s="28"/>
      <c r="L120" s="28"/>
      <c r="P120" s="28"/>
      <c r="T120" s="28"/>
      <c r="W120" s="28"/>
      <c r="X120" s="2">
        <v>0</v>
      </c>
      <c r="Y120" s="3">
        <v>10</v>
      </c>
    </row>
    <row r="121" spans="2:25" hidden="1" x14ac:dyDescent="0.3">
      <c r="B121" s="76" t="s">
        <v>64</v>
      </c>
      <c r="C121" s="3" t="s">
        <v>117</v>
      </c>
      <c r="D121" s="3" t="s">
        <v>90</v>
      </c>
      <c r="E121" s="27"/>
      <c r="H121" s="28"/>
      <c r="L121" s="28"/>
      <c r="P121" s="28"/>
      <c r="T121" s="28"/>
      <c r="W121" s="28"/>
      <c r="X121" s="2">
        <v>0</v>
      </c>
      <c r="Y121" s="3">
        <v>10</v>
      </c>
    </row>
    <row r="122" spans="2:25" hidden="1" x14ac:dyDescent="0.3">
      <c r="B122" s="76" t="s">
        <v>65</v>
      </c>
      <c r="C122" s="3" t="s">
        <v>117</v>
      </c>
      <c r="D122" s="3" t="s">
        <v>82</v>
      </c>
      <c r="E122" s="27"/>
      <c r="H122" s="28"/>
      <c r="L122" s="28"/>
      <c r="P122" s="28"/>
      <c r="T122" s="28"/>
      <c r="W122" s="28"/>
      <c r="X122" s="2">
        <v>0</v>
      </c>
      <c r="Y122" s="3">
        <v>10</v>
      </c>
    </row>
    <row r="123" spans="2:25" x14ac:dyDescent="0.3">
      <c r="B123" s="76" t="s">
        <v>79</v>
      </c>
      <c r="C123" s="3" t="s">
        <v>118</v>
      </c>
      <c r="D123" s="3" t="s">
        <v>83</v>
      </c>
      <c r="E123" s="27"/>
      <c r="H123" s="28"/>
      <c r="L123" s="28"/>
      <c r="P123" s="28"/>
      <c r="T123" s="28"/>
      <c r="W123" s="28"/>
      <c r="X123" s="2">
        <v>0</v>
      </c>
      <c r="Y123" s="3">
        <v>12</v>
      </c>
    </row>
    <row r="124" spans="2:25" hidden="1" x14ac:dyDescent="0.3">
      <c r="B124" s="76" t="s">
        <v>66</v>
      </c>
      <c r="C124" s="3" t="s">
        <v>117</v>
      </c>
      <c r="D124" s="3" t="s">
        <v>83</v>
      </c>
      <c r="E124" s="27"/>
      <c r="H124" s="28"/>
      <c r="L124" s="28"/>
      <c r="P124" s="28"/>
      <c r="T124" s="28"/>
      <c r="W124" s="28"/>
      <c r="X124" s="2">
        <v>0</v>
      </c>
      <c r="Y124" s="3">
        <v>10</v>
      </c>
    </row>
    <row r="125" spans="2:25" hidden="1" x14ac:dyDescent="0.3">
      <c r="B125" s="76" t="s">
        <v>33</v>
      </c>
      <c r="C125" s="3" t="s">
        <v>116</v>
      </c>
      <c r="D125" s="3" t="s">
        <v>88</v>
      </c>
      <c r="E125" s="27"/>
      <c r="H125" s="28"/>
      <c r="L125" s="28"/>
      <c r="P125" s="28"/>
      <c r="T125" s="28"/>
      <c r="W125" s="28"/>
      <c r="X125" s="2">
        <v>0</v>
      </c>
      <c r="Y125" s="3">
        <v>10</v>
      </c>
    </row>
    <row r="126" spans="2:25" hidden="1" x14ac:dyDescent="0.3">
      <c r="B126" s="76" t="s">
        <v>67</v>
      </c>
      <c r="C126" s="3" t="s">
        <v>117</v>
      </c>
      <c r="D126" s="3" t="s">
        <v>90</v>
      </c>
      <c r="E126" s="27"/>
      <c r="H126" s="28"/>
      <c r="L126" s="28"/>
      <c r="P126" s="28"/>
      <c r="T126" s="28"/>
      <c r="W126" s="28"/>
      <c r="X126" s="2">
        <v>0</v>
      </c>
      <c r="Y126" s="3">
        <v>10</v>
      </c>
    </row>
    <row r="127" spans="2:25" hidden="1" x14ac:dyDescent="0.3">
      <c r="B127" s="76" t="s">
        <v>34</v>
      </c>
      <c r="C127" s="3" t="s">
        <v>116</v>
      </c>
      <c r="D127" s="3" t="s">
        <v>122</v>
      </c>
      <c r="E127" s="27"/>
      <c r="H127" s="28"/>
      <c r="L127" s="28"/>
      <c r="P127" s="28"/>
      <c r="T127" s="28"/>
      <c r="W127" s="28"/>
      <c r="X127" s="2">
        <v>0</v>
      </c>
      <c r="Y127" s="3">
        <v>10</v>
      </c>
    </row>
    <row r="128" spans="2:25" hidden="1" x14ac:dyDescent="0.3">
      <c r="B128" s="76" t="s">
        <v>35</v>
      </c>
      <c r="C128" s="3" t="s">
        <v>116</v>
      </c>
      <c r="D128" s="3" t="s">
        <v>121</v>
      </c>
      <c r="E128" s="27"/>
      <c r="H128" s="28"/>
      <c r="L128" s="28"/>
      <c r="P128" s="28"/>
      <c r="T128" s="28"/>
      <c r="W128" s="28"/>
      <c r="X128" s="2">
        <v>0</v>
      </c>
      <c r="Y128" s="3">
        <v>10</v>
      </c>
    </row>
    <row r="129" spans="2:25" x14ac:dyDescent="0.3">
      <c r="B129" s="76" t="s">
        <v>80</v>
      </c>
      <c r="C129" s="3" t="s">
        <v>118</v>
      </c>
      <c r="D129" s="3" t="s">
        <v>121</v>
      </c>
      <c r="E129" s="27"/>
      <c r="H129" s="28"/>
      <c r="L129" s="28"/>
      <c r="P129" s="28"/>
      <c r="T129" s="28"/>
      <c r="W129" s="28"/>
      <c r="X129" s="2">
        <v>0</v>
      </c>
      <c r="Y129" s="3">
        <v>12</v>
      </c>
    </row>
    <row r="130" spans="2:25" hidden="1" x14ac:dyDescent="0.3">
      <c r="B130" s="76" t="s">
        <v>87</v>
      </c>
      <c r="C130" s="3" t="s">
        <v>120</v>
      </c>
      <c r="D130" s="3" t="s">
        <v>120</v>
      </c>
      <c r="E130" s="27"/>
      <c r="H130" s="28"/>
      <c r="L130" s="28"/>
      <c r="P130" s="28"/>
      <c r="T130" s="28"/>
      <c r="W130" s="28"/>
      <c r="X130" s="2">
        <v>0</v>
      </c>
      <c r="Y130" s="3">
        <v>14</v>
      </c>
    </row>
    <row r="131" spans="2:25" hidden="1" x14ac:dyDescent="0.3">
      <c r="B131" s="76" t="s">
        <v>36</v>
      </c>
      <c r="C131" s="3" t="s">
        <v>116</v>
      </c>
      <c r="D131" s="3" t="s">
        <v>90</v>
      </c>
      <c r="E131" s="27"/>
      <c r="H131" s="28"/>
      <c r="L131" s="28"/>
      <c r="P131" s="28"/>
      <c r="T131" s="28"/>
      <c r="W131" s="28"/>
      <c r="X131" s="2">
        <v>0</v>
      </c>
      <c r="Y131" s="3">
        <v>10</v>
      </c>
    </row>
    <row r="132" spans="2:25" hidden="1" x14ac:dyDescent="0.3">
      <c r="B132" s="76" t="s">
        <v>88</v>
      </c>
      <c r="C132" s="3" t="s">
        <v>119</v>
      </c>
      <c r="D132" s="3" t="s">
        <v>85</v>
      </c>
      <c r="E132" s="27"/>
      <c r="H132" s="28"/>
      <c r="L132" s="28"/>
      <c r="P132" s="28"/>
      <c r="T132" s="28"/>
      <c r="W132" s="28"/>
      <c r="X132" s="2">
        <v>0</v>
      </c>
      <c r="Y132" s="3">
        <v>14</v>
      </c>
    </row>
    <row r="133" spans="2:25" hidden="1" x14ac:dyDescent="0.3">
      <c r="B133" s="76" t="s">
        <v>89</v>
      </c>
      <c r="C133" s="3" t="s">
        <v>119</v>
      </c>
      <c r="D133" s="3" t="s">
        <v>87</v>
      </c>
      <c r="E133" s="27"/>
      <c r="H133" s="28"/>
      <c r="L133" s="28"/>
      <c r="P133" s="28"/>
      <c r="T133" s="28"/>
      <c r="W133" s="28"/>
      <c r="X133" s="2">
        <v>0</v>
      </c>
      <c r="Y133" s="3">
        <v>14</v>
      </c>
    </row>
    <row r="134" spans="2:25" hidden="1" x14ac:dyDescent="0.3">
      <c r="B134" s="76" t="s">
        <v>37</v>
      </c>
      <c r="C134" s="3" t="s">
        <v>116</v>
      </c>
      <c r="D134" s="3" t="s">
        <v>84</v>
      </c>
      <c r="E134" s="27"/>
      <c r="H134" s="28"/>
      <c r="L134" s="28"/>
      <c r="P134" s="28"/>
      <c r="T134" s="28"/>
      <c r="W134" s="28"/>
      <c r="X134" s="2">
        <v>0</v>
      </c>
      <c r="Y134" s="3">
        <v>10</v>
      </c>
    </row>
    <row r="135" spans="2:25" hidden="1" x14ac:dyDescent="0.3">
      <c r="B135" s="76" t="s">
        <v>68</v>
      </c>
      <c r="C135" s="3" t="s">
        <v>117</v>
      </c>
      <c r="D135" s="3" t="s">
        <v>82</v>
      </c>
      <c r="E135" s="27"/>
      <c r="H135" s="28"/>
      <c r="L135" s="28"/>
      <c r="P135" s="28"/>
      <c r="T135" s="28"/>
      <c r="W135" s="28"/>
      <c r="X135" s="2">
        <v>0</v>
      </c>
      <c r="Y135" s="3">
        <v>10</v>
      </c>
    </row>
    <row r="136" spans="2:25" hidden="1" x14ac:dyDescent="0.3">
      <c r="B136" s="76" t="s">
        <v>90</v>
      </c>
      <c r="C136" s="3" t="s">
        <v>119</v>
      </c>
      <c r="D136" s="3" t="s">
        <v>87</v>
      </c>
      <c r="E136" s="27"/>
      <c r="H136" s="28"/>
      <c r="L136" s="28"/>
      <c r="P136" s="28"/>
      <c r="T136" s="28"/>
      <c r="W136" s="28"/>
      <c r="X136" s="2">
        <v>0</v>
      </c>
      <c r="Y136" s="3">
        <v>14</v>
      </c>
    </row>
    <row r="137" spans="2:25" hidden="1" x14ac:dyDescent="0.3">
      <c r="B137" s="76" t="s">
        <v>38</v>
      </c>
      <c r="C137" s="3" t="s">
        <v>116</v>
      </c>
      <c r="D137" s="3" t="s">
        <v>121</v>
      </c>
      <c r="E137" s="27"/>
      <c r="H137" s="28"/>
      <c r="L137" s="28"/>
      <c r="P137" s="28"/>
      <c r="T137" s="28"/>
      <c r="W137" s="28"/>
      <c r="X137" s="2">
        <v>0</v>
      </c>
      <c r="Y137" s="3">
        <v>10</v>
      </c>
    </row>
    <row r="138" spans="2:25" hidden="1" x14ac:dyDescent="0.3">
      <c r="B138" s="76" t="s">
        <v>69</v>
      </c>
      <c r="C138" s="3" t="s">
        <v>117</v>
      </c>
      <c r="D138" s="3" t="s">
        <v>92</v>
      </c>
      <c r="E138" s="27"/>
      <c r="H138" s="28"/>
      <c r="L138" s="28"/>
      <c r="P138" s="28"/>
      <c r="T138" s="28"/>
      <c r="W138" s="28"/>
      <c r="X138" s="2">
        <v>0</v>
      </c>
      <c r="Y138" s="3">
        <v>10</v>
      </c>
    </row>
    <row r="139" spans="2:25" hidden="1" x14ac:dyDescent="0.3">
      <c r="B139" s="76" t="s">
        <v>39</v>
      </c>
      <c r="C139" s="3" t="s">
        <v>116</v>
      </c>
      <c r="D139" s="3" t="s">
        <v>81</v>
      </c>
      <c r="E139" s="27"/>
      <c r="H139" s="28"/>
      <c r="L139" s="28"/>
      <c r="P139" s="28"/>
      <c r="T139" s="28"/>
      <c r="W139" s="28"/>
      <c r="X139" s="2">
        <v>0</v>
      </c>
      <c r="Y139" s="3">
        <v>10</v>
      </c>
    </row>
    <row r="140" spans="2:25" hidden="1" x14ac:dyDescent="0.3">
      <c r="B140" s="76" t="s">
        <v>40</v>
      </c>
      <c r="C140" s="3" t="s">
        <v>116</v>
      </c>
      <c r="D140" s="3" t="s">
        <v>92</v>
      </c>
      <c r="E140" s="27"/>
      <c r="H140" s="28"/>
      <c r="L140" s="28"/>
      <c r="P140" s="28"/>
      <c r="T140" s="28"/>
      <c r="W140" s="28"/>
      <c r="X140" s="2">
        <v>0</v>
      </c>
      <c r="Y140" s="3">
        <v>10</v>
      </c>
    </row>
    <row r="141" spans="2:25" hidden="1" x14ac:dyDescent="0.3">
      <c r="B141" s="76" t="s">
        <v>41</v>
      </c>
      <c r="C141" s="3" t="s">
        <v>116</v>
      </c>
      <c r="D141" s="3" t="s">
        <v>122</v>
      </c>
      <c r="E141" s="27"/>
      <c r="H141" s="28"/>
      <c r="L141" s="28"/>
      <c r="P141" s="28"/>
      <c r="T141" s="28"/>
      <c r="W141" s="28"/>
      <c r="X141" s="2">
        <v>0</v>
      </c>
      <c r="Y141" s="3">
        <v>10</v>
      </c>
    </row>
    <row r="142" spans="2:25" hidden="1" x14ac:dyDescent="0.3">
      <c r="B142" s="76" t="s">
        <v>42</v>
      </c>
      <c r="C142" s="3" t="s">
        <v>116</v>
      </c>
      <c r="D142" s="3" t="s">
        <v>88</v>
      </c>
      <c r="E142" s="27"/>
      <c r="H142" s="28"/>
      <c r="L142" s="28"/>
      <c r="P142" s="28"/>
      <c r="T142" s="28"/>
      <c r="W142" s="28"/>
      <c r="X142" s="2">
        <v>0</v>
      </c>
      <c r="Y142" s="3">
        <v>10</v>
      </c>
    </row>
    <row r="143" spans="2:25" hidden="1" x14ac:dyDescent="0.3">
      <c r="B143" s="76" t="s">
        <v>43</v>
      </c>
      <c r="C143" s="3" t="s">
        <v>116</v>
      </c>
      <c r="D143" s="3" t="s">
        <v>91</v>
      </c>
      <c r="E143" s="27"/>
      <c r="H143" s="28"/>
      <c r="L143" s="28"/>
      <c r="P143" s="28"/>
      <c r="T143" s="28"/>
      <c r="W143" s="28"/>
      <c r="X143" s="2">
        <v>0</v>
      </c>
      <c r="Y143" s="3">
        <v>10</v>
      </c>
    </row>
    <row r="144" spans="2:25" hidden="1" x14ac:dyDescent="0.3">
      <c r="B144" s="76" t="s">
        <v>70</v>
      </c>
      <c r="C144" s="3" t="s">
        <v>117</v>
      </c>
      <c r="D144" s="3" t="s">
        <v>92</v>
      </c>
      <c r="E144" s="27"/>
      <c r="H144" s="28"/>
      <c r="L144" s="28"/>
      <c r="P144" s="28"/>
      <c r="T144" s="28"/>
      <c r="W144" s="28"/>
      <c r="X144" s="2">
        <v>0</v>
      </c>
      <c r="Y144" s="3">
        <v>10</v>
      </c>
    </row>
    <row r="145" spans="2:25" hidden="1" x14ac:dyDescent="0.3">
      <c r="B145" s="76" t="s">
        <v>91</v>
      </c>
      <c r="C145" s="3" t="s">
        <v>119</v>
      </c>
      <c r="D145" s="3" t="s">
        <v>85</v>
      </c>
      <c r="E145" s="27"/>
      <c r="H145" s="28"/>
      <c r="L145" s="28"/>
      <c r="P145" s="28"/>
      <c r="T145" s="28"/>
      <c r="W145" s="28"/>
      <c r="X145" s="2">
        <v>0</v>
      </c>
      <c r="Y145" s="3">
        <v>14</v>
      </c>
    </row>
    <row r="146" spans="2:25" hidden="1" x14ac:dyDescent="0.3">
      <c r="B146" s="76" t="s">
        <v>71</v>
      </c>
      <c r="C146" s="3" t="s">
        <v>117</v>
      </c>
      <c r="D146" s="3" t="s">
        <v>91</v>
      </c>
      <c r="E146" s="27"/>
      <c r="H146" s="28"/>
      <c r="L146" s="28"/>
      <c r="P146" s="28"/>
      <c r="T146" s="28"/>
      <c r="W146" s="28"/>
      <c r="X146" s="2">
        <v>0</v>
      </c>
      <c r="Y146" s="3">
        <v>10</v>
      </c>
    </row>
    <row r="147" spans="2:25" hidden="1" x14ac:dyDescent="0.3">
      <c r="B147" s="76" t="s">
        <v>44</v>
      </c>
      <c r="C147" s="3" t="s">
        <v>116</v>
      </c>
      <c r="D147" s="3" t="s">
        <v>94</v>
      </c>
      <c r="E147" s="27"/>
      <c r="H147" s="28"/>
      <c r="L147" s="28"/>
      <c r="P147" s="28"/>
      <c r="T147" s="28"/>
      <c r="W147" s="28"/>
      <c r="X147" s="2">
        <v>0</v>
      </c>
      <c r="Y147" s="3">
        <v>10</v>
      </c>
    </row>
    <row r="148" spans="2:25" hidden="1" x14ac:dyDescent="0.3">
      <c r="B148" s="76" t="s">
        <v>45</v>
      </c>
      <c r="C148" s="3" t="s">
        <v>116</v>
      </c>
      <c r="D148" s="3" t="s">
        <v>92</v>
      </c>
      <c r="E148" s="27"/>
      <c r="H148" s="28"/>
      <c r="L148" s="28"/>
      <c r="P148" s="28"/>
      <c r="T148" s="28"/>
      <c r="W148" s="28"/>
      <c r="X148" s="2">
        <v>0</v>
      </c>
      <c r="Y148" s="3">
        <v>10</v>
      </c>
    </row>
    <row r="149" spans="2:25" hidden="1" x14ac:dyDescent="0.3">
      <c r="B149" s="76" t="s">
        <v>46</v>
      </c>
      <c r="C149" s="3" t="s">
        <v>116</v>
      </c>
      <c r="D149" s="3" t="s">
        <v>94</v>
      </c>
      <c r="E149" s="27"/>
      <c r="H149" s="28"/>
      <c r="L149" s="28"/>
      <c r="P149" s="28"/>
      <c r="T149" s="28"/>
      <c r="W149" s="28"/>
      <c r="X149" s="2">
        <v>0</v>
      </c>
      <c r="Y149" s="3">
        <v>10</v>
      </c>
    </row>
    <row r="150" spans="2:25" hidden="1" x14ac:dyDescent="0.3">
      <c r="B150" s="76" t="s">
        <v>92</v>
      </c>
      <c r="C150" s="3" t="s">
        <v>119</v>
      </c>
      <c r="D150" s="3" t="s">
        <v>87</v>
      </c>
      <c r="E150" s="27"/>
      <c r="H150" s="28"/>
      <c r="L150" s="28"/>
      <c r="P150" s="28"/>
      <c r="T150" s="28"/>
      <c r="W150" s="28"/>
      <c r="X150" s="2">
        <v>0</v>
      </c>
      <c r="Y150" s="3">
        <v>14</v>
      </c>
    </row>
    <row r="151" spans="2:25" hidden="1" x14ac:dyDescent="0.3">
      <c r="B151" s="76" t="s">
        <v>72</v>
      </c>
      <c r="C151" s="3" t="s">
        <v>117</v>
      </c>
      <c r="D151" s="3" t="s">
        <v>84</v>
      </c>
      <c r="E151" s="27"/>
      <c r="H151" s="28"/>
      <c r="L151" s="28"/>
      <c r="P151" s="28"/>
      <c r="T151" s="28"/>
      <c r="W151" s="28"/>
      <c r="X151" s="2">
        <v>0</v>
      </c>
      <c r="Y151" s="3">
        <v>10</v>
      </c>
    </row>
    <row r="152" spans="2:25" hidden="1" x14ac:dyDescent="0.3">
      <c r="B152" s="76" t="s">
        <v>47</v>
      </c>
      <c r="C152" s="3" t="s">
        <v>116</v>
      </c>
      <c r="D152" s="3" t="s">
        <v>88</v>
      </c>
      <c r="E152" s="27"/>
      <c r="H152" s="28"/>
      <c r="L152" s="28"/>
      <c r="P152" s="28"/>
      <c r="T152" s="28"/>
      <c r="W152" s="28"/>
      <c r="X152" s="2">
        <v>0</v>
      </c>
      <c r="Y152" s="3">
        <v>10</v>
      </c>
    </row>
    <row r="153" spans="2:25" hidden="1" x14ac:dyDescent="0.3">
      <c r="B153" s="76" t="s">
        <v>48</v>
      </c>
      <c r="C153" s="3" t="s">
        <v>116</v>
      </c>
      <c r="D153" s="3" t="s">
        <v>89</v>
      </c>
      <c r="E153" s="27"/>
      <c r="H153" s="28"/>
      <c r="L153" s="28"/>
      <c r="P153" s="28"/>
      <c r="T153" s="28"/>
      <c r="W153" s="28"/>
      <c r="X153" s="2">
        <v>0</v>
      </c>
      <c r="Y153" s="3">
        <v>10</v>
      </c>
    </row>
    <row r="154" spans="2:25" hidden="1" x14ac:dyDescent="0.3">
      <c r="B154" s="76" t="s">
        <v>49</v>
      </c>
      <c r="C154" s="3" t="s">
        <v>116</v>
      </c>
      <c r="D154" s="3" t="s">
        <v>94</v>
      </c>
      <c r="E154" s="27"/>
      <c r="H154" s="28"/>
      <c r="L154" s="28"/>
      <c r="P154" s="28"/>
      <c r="T154" s="28"/>
      <c r="W154" s="28"/>
      <c r="X154" s="2">
        <v>0</v>
      </c>
      <c r="Y154" s="3">
        <v>10</v>
      </c>
    </row>
    <row r="155" spans="2:25" hidden="1" x14ac:dyDescent="0.3">
      <c r="B155" s="76" t="s">
        <v>50</v>
      </c>
      <c r="C155" s="3" t="s">
        <v>116</v>
      </c>
      <c r="D155" s="3" t="s">
        <v>84</v>
      </c>
      <c r="E155" s="27"/>
      <c r="H155" s="28"/>
      <c r="L155" s="28"/>
      <c r="P155" s="28"/>
      <c r="T155" s="28"/>
      <c r="W155" s="28"/>
      <c r="X155" s="2">
        <v>0</v>
      </c>
      <c r="Y155" s="3">
        <v>10</v>
      </c>
    </row>
    <row r="156" spans="2:25" hidden="1" x14ac:dyDescent="0.3">
      <c r="B156" s="76" t="s">
        <v>73</v>
      </c>
      <c r="C156" s="3" t="s">
        <v>117</v>
      </c>
      <c r="D156" s="3" t="s">
        <v>84</v>
      </c>
      <c r="E156" s="27"/>
      <c r="H156" s="28"/>
      <c r="L156" s="28"/>
      <c r="P156" s="28"/>
      <c r="T156" s="28"/>
      <c r="W156" s="28"/>
      <c r="X156" s="2">
        <v>0</v>
      </c>
      <c r="Y156" s="3">
        <v>10</v>
      </c>
    </row>
    <row r="157" spans="2:25" hidden="1" x14ac:dyDescent="0.3">
      <c r="B157" s="76" t="s">
        <v>51</v>
      </c>
      <c r="C157" s="3" t="s">
        <v>116</v>
      </c>
      <c r="D157" s="3" t="s">
        <v>91</v>
      </c>
      <c r="E157" s="27"/>
      <c r="H157" s="28"/>
      <c r="L157" s="28"/>
      <c r="P157" s="28"/>
      <c r="T157" s="28"/>
      <c r="W157" s="28"/>
      <c r="X157" s="2">
        <v>0</v>
      </c>
      <c r="Y157" s="3">
        <v>10</v>
      </c>
    </row>
    <row r="158" spans="2:25" hidden="1" x14ac:dyDescent="0.3">
      <c r="B158" s="76" t="s">
        <v>52</v>
      </c>
      <c r="C158" s="3" t="s">
        <v>116</v>
      </c>
      <c r="D158" s="3" t="s">
        <v>122</v>
      </c>
      <c r="E158" s="27"/>
      <c r="H158" s="28"/>
      <c r="L158" s="28"/>
      <c r="P158" s="28"/>
      <c r="T158" s="28"/>
      <c r="W158" s="28"/>
      <c r="X158" s="2">
        <v>0</v>
      </c>
      <c r="Y158" s="3">
        <v>10</v>
      </c>
    </row>
    <row r="159" spans="2:25" hidden="1" x14ac:dyDescent="0.3">
      <c r="B159" s="76" t="s">
        <v>93</v>
      </c>
      <c r="C159" s="3" t="s">
        <v>120</v>
      </c>
      <c r="D159" s="3" t="s">
        <v>120</v>
      </c>
      <c r="E159" s="27"/>
      <c r="H159" s="28"/>
      <c r="L159" s="28"/>
      <c r="P159" s="28"/>
      <c r="T159" s="28"/>
      <c r="W159" s="28"/>
      <c r="X159" s="2">
        <v>0</v>
      </c>
      <c r="Y159" s="3">
        <v>14</v>
      </c>
    </row>
    <row r="160" spans="2:25" hidden="1" x14ac:dyDescent="0.3">
      <c r="B160" s="76" t="s">
        <v>94</v>
      </c>
      <c r="C160" s="3" t="s">
        <v>119</v>
      </c>
      <c r="D160" s="3" t="s">
        <v>93</v>
      </c>
      <c r="E160" s="27"/>
      <c r="H160" s="28"/>
      <c r="L160" s="28"/>
      <c r="P160" s="28"/>
      <c r="T160" s="28"/>
      <c r="W160" s="28"/>
      <c r="X160" s="2">
        <v>0</v>
      </c>
      <c r="Y160" s="3">
        <v>14</v>
      </c>
    </row>
    <row r="161" spans="2:26" hidden="1" x14ac:dyDescent="0.3">
      <c r="B161" s="76" t="s">
        <v>74</v>
      </c>
      <c r="C161" s="3" t="s">
        <v>117</v>
      </c>
      <c r="D161" s="3" t="s">
        <v>94</v>
      </c>
      <c r="E161" s="27"/>
      <c r="H161" s="28"/>
      <c r="L161" s="28"/>
      <c r="P161" s="28"/>
      <c r="T161" s="28"/>
      <c r="W161" s="28"/>
      <c r="X161" s="2">
        <v>0</v>
      </c>
      <c r="Y161" s="3">
        <v>10</v>
      </c>
    </row>
    <row r="162" spans="2:26" hidden="1" x14ac:dyDescent="0.3">
      <c r="B162" s="76" t="s">
        <v>53</v>
      </c>
      <c r="C162" s="3" t="s">
        <v>116</v>
      </c>
      <c r="D162" s="3" t="s">
        <v>91</v>
      </c>
      <c r="E162" s="27"/>
      <c r="H162" s="28"/>
      <c r="L162" s="28"/>
      <c r="P162" s="28"/>
      <c r="T162" s="28"/>
      <c r="W162" s="28"/>
      <c r="X162" s="2">
        <v>0</v>
      </c>
      <c r="Y162" s="3">
        <v>10</v>
      </c>
    </row>
    <row r="163" spans="2:26" hidden="1" x14ac:dyDescent="0.3">
      <c r="B163" s="76" t="s">
        <v>75</v>
      </c>
      <c r="C163" s="3" t="s">
        <v>117</v>
      </c>
      <c r="D163" s="3" t="s">
        <v>89</v>
      </c>
      <c r="E163" s="27"/>
      <c r="H163" s="28"/>
      <c r="L163" s="28"/>
      <c r="P163" s="28"/>
      <c r="T163" s="28"/>
      <c r="W163" s="28"/>
      <c r="X163" s="2">
        <v>0</v>
      </c>
      <c r="Y163" s="3">
        <v>10</v>
      </c>
    </row>
    <row r="164" spans="2:26" hidden="1" x14ac:dyDescent="0.3">
      <c r="B164" s="76" t="s">
        <v>76</v>
      </c>
      <c r="C164" s="3" t="s">
        <v>117</v>
      </c>
      <c r="D164" s="3" t="s">
        <v>82</v>
      </c>
      <c r="E164" s="27"/>
      <c r="H164" s="28"/>
      <c r="L164" s="28"/>
      <c r="P164" s="28"/>
      <c r="T164" s="28"/>
      <c r="W164" s="28"/>
      <c r="X164" s="2">
        <v>0</v>
      </c>
      <c r="Y164" s="3">
        <v>10</v>
      </c>
    </row>
    <row r="165" spans="2:26" hidden="1" x14ac:dyDescent="0.3">
      <c r="B165" s="76" t="s">
        <v>54</v>
      </c>
      <c r="C165" s="3" t="s">
        <v>116</v>
      </c>
      <c r="D165" s="3" t="s">
        <v>84</v>
      </c>
      <c r="E165" s="27"/>
      <c r="H165" s="28"/>
      <c r="L165" s="28"/>
      <c r="P165" s="28"/>
      <c r="T165" s="28"/>
      <c r="W165" s="28"/>
      <c r="X165" s="2">
        <v>0</v>
      </c>
      <c r="Y165" s="3">
        <v>10</v>
      </c>
    </row>
    <row r="166" spans="2:26" hidden="1" x14ac:dyDescent="0.3">
      <c r="B166" s="76" t="s">
        <v>55</v>
      </c>
      <c r="C166" s="3" t="s">
        <v>116</v>
      </c>
      <c r="D166" s="3" t="s">
        <v>81</v>
      </c>
      <c r="E166" s="27"/>
      <c r="H166" s="28"/>
      <c r="L166" s="28"/>
      <c r="P166" s="28"/>
      <c r="T166" s="28"/>
      <c r="W166" s="28"/>
      <c r="X166" s="2">
        <v>0</v>
      </c>
      <c r="Y166" s="3">
        <v>10</v>
      </c>
    </row>
    <row r="167" spans="2:26" hidden="1" x14ac:dyDescent="0.3">
      <c r="B167" s="76" t="s">
        <v>56</v>
      </c>
      <c r="C167" s="3" t="s">
        <v>116</v>
      </c>
      <c r="D167" s="3" t="s">
        <v>92</v>
      </c>
      <c r="E167" s="27"/>
      <c r="H167" s="28"/>
      <c r="L167" s="28"/>
      <c r="P167" s="28"/>
      <c r="T167" s="28"/>
      <c r="W167" s="28"/>
      <c r="X167" s="2">
        <v>0</v>
      </c>
      <c r="Y167" s="3">
        <v>10</v>
      </c>
    </row>
    <row r="168" spans="2:26" x14ac:dyDescent="0.3">
      <c r="B168" s="3" t="s">
        <v>130</v>
      </c>
      <c r="E168" s="3">
        <f>SUBTOTAL(103,CSchedule_T[SE])</f>
        <v>0</v>
      </c>
      <c r="F168" s="3">
        <f>SUBTOTAL(103,CSchedule_T[S1])</f>
        <v>0</v>
      </c>
      <c r="G168" s="3">
        <f>SUBTOTAL(103,CSchedule_T[S2])</f>
        <v>0</v>
      </c>
      <c r="H168" s="3">
        <f>SUBTOTAL(103,CSchedule_T[SP])</f>
        <v>0</v>
      </c>
      <c r="I168" s="3">
        <f>SUBTOTAL(103,CSchedule_T[TE])</f>
        <v>0</v>
      </c>
      <c r="J168" s="3">
        <f>SUBTOTAL(103,CSchedule_T[T1])</f>
        <v>0</v>
      </c>
      <c r="K168" s="3">
        <f>SUBTOTAL(103,CSchedule_T[T2])</f>
        <v>0</v>
      </c>
      <c r="L168" s="3">
        <f>SUBTOTAL(103,CSchedule_T[TP])</f>
        <v>0</v>
      </c>
      <c r="M168" s="3">
        <f>SUBTOTAL(103,CSchedule_T[WE])</f>
        <v>0</v>
      </c>
      <c r="N168" s="3">
        <f>SUBTOTAL(103,CSchedule_T[W1])</f>
        <v>0</v>
      </c>
      <c r="O168" s="3">
        <f>SUBTOTAL(103,CSchedule_T[W2])</f>
        <v>0</v>
      </c>
      <c r="P168" s="3">
        <f>SUBTOTAL(103,CSchedule_T[WP])</f>
        <v>0</v>
      </c>
      <c r="Q168" s="3">
        <f>SUBTOTAL(103,CSchedule_T[ThE])</f>
        <v>0</v>
      </c>
      <c r="R168" s="3">
        <f>SUBTOTAL(103,CSchedule_T[Th1])</f>
        <v>0</v>
      </c>
      <c r="S168" s="3">
        <f>SUBTOTAL(103,CSchedule_T[Th2])</f>
        <v>0</v>
      </c>
      <c r="T168" s="3">
        <f>SUBTOTAL(103,CSchedule_T[ThP])</f>
        <v>0</v>
      </c>
      <c r="U168" s="3">
        <f>SUBTOTAL(103,CSchedule_T[FE])</f>
        <v>0</v>
      </c>
      <c r="V168" s="3">
        <f>SUBTOTAL(103,CSchedule_T[F1])</f>
        <v>0</v>
      </c>
      <c r="W168" s="3">
        <f>SUBTOTAL(103,CSchedule_T[F2])</f>
        <v>0</v>
      </c>
    </row>
    <row r="169" spans="2:26" ht="14.25" customHeight="1" x14ac:dyDescent="0.3">
      <c r="B169" s="3" t="s">
        <v>95</v>
      </c>
      <c r="C169" s="3" t="s">
        <v>96</v>
      </c>
      <c r="D169" s="3" t="s">
        <v>97</v>
      </c>
      <c r="E169" s="2" t="s">
        <v>98</v>
      </c>
      <c r="F169" s="2" t="s">
        <v>0</v>
      </c>
      <c r="G169" s="2" t="s">
        <v>1</v>
      </c>
      <c r="H169" s="2" t="s">
        <v>99</v>
      </c>
      <c r="I169" s="2" t="s">
        <v>100</v>
      </c>
      <c r="J169" s="2" t="s">
        <v>2</v>
      </c>
      <c r="K169" s="2" t="s">
        <v>3</v>
      </c>
      <c r="L169" s="2" t="s">
        <v>102</v>
      </c>
      <c r="M169" s="2" t="s">
        <v>101</v>
      </c>
      <c r="N169" s="2" t="s">
        <v>4</v>
      </c>
      <c r="O169" s="2" t="s">
        <v>5</v>
      </c>
      <c r="P169" s="2" t="s">
        <v>103</v>
      </c>
      <c r="Q169" s="2" t="s">
        <v>104</v>
      </c>
      <c r="R169" s="2" t="s">
        <v>105</v>
      </c>
      <c r="S169" s="2" t="s">
        <v>106</v>
      </c>
      <c r="T169" s="2" t="s">
        <v>107</v>
      </c>
      <c r="U169" s="2" t="s">
        <v>108</v>
      </c>
      <c r="V169" s="2" t="s">
        <v>6</v>
      </c>
      <c r="W169" s="2" t="s">
        <v>7</v>
      </c>
      <c r="X169" s="2" t="s">
        <v>127</v>
      </c>
      <c r="Y169" s="3" t="s">
        <v>128</v>
      </c>
      <c r="Z169" s="3" t="s">
        <v>125</v>
      </c>
    </row>
    <row r="170" spans="2:26" x14ac:dyDescent="0.3">
      <c r="B170" s="76" t="s">
        <v>16</v>
      </c>
      <c r="C170" s="3" t="s">
        <v>146</v>
      </c>
      <c r="D170" s="3" t="s">
        <v>167</v>
      </c>
      <c r="E170" s="27"/>
      <c r="H170" s="28"/>
      <c r="J170" s="3" t="s">
        <v>17</v>
      </c>
      <c r="K170" s="3" t="s">
        <v>17</v>
      </c>
      <c r="L170" s="28"/>
      <c r="N170" s="3" t="s">
        <v>17</v>
      </c>
      <c r="O170" s="3" t="s">
        <v>17</v>
      </c>
      <c r="P170" s="28"/>
      <c r="R170" s="3" t="s">
        <v>17</v>
      </c>
      <c r="S170" s="3" t="s">
        <v>17</v>
      </c>
      <c r="T170" s="28"/>
      <c r="W170" s="28"/>
      <c r="X170" s="2">
        <v>12</v>
      </c>
      <c r="Y170" s="3" t="s">
        <v>168</v>
      </c>
    </row>
    <row r="171" spans="2:26" hidden="1" x14ac:dyDescent="0.3">
      <c r="B171" s="76" t="s">
        <v>19</v>
      </c>
      <c r="C171" s="3" t="s">
        <v>116</v>
      </c>
      <c r="D171" s="3" t="s">
        <v>16</v>
      </c>
      <c r="E171" s="27"/>
      <c r="H171" s="28"/>
      <c r="L171" s="28"/>
      <c r="N171" s="3" t="s">
        <v>17</v>
      </c>
      <c r="O171" s="3" t="s">
        <v>17</v>
      </c>
      <c r="P171" s="28" t="s">
        <v>17</v>
      </c>
      <c r="T171" s="28"/>
      <c r="V171" s="3" t="s">
        <v>17</v>
      </c>
      <c r="W171" s="28" t="s">
        <v>17</v>
      </c>
      <c r="X171" s="2">
        <v>9</v>
      </c>
      <c r="Y171" s="3" t="s">
        <v>169</v>
      </c>
    </row>
    <row r="172" spans="2:26" hidden="1" x14ac:dyDescent="0.3">
      <c r="B172" s="76" t="s">
        <v>18</v>
      </c>
      <c r="C172" s="3" t="s">
        <v>116</v>
      </c>
      <c r="D172" s="3" t="s">
        <v>92</v>
      </c>
      <c r="E172" s="27"/>
      <c r="H172" s="28"/>
      <c r="J172" s="3" t="s">
        <v>17</v>
      </c>
      <c r="K172" s="3" t="s">
        <v>17</v>
      </c>
      <c r="L172" s="28" t="s">
        <v>17</v>
      </c>
      <c r="P172" s="28"/>
      <c r="T172" s="28"/>
      <c r="W172" s="28"/>
      <c r="X172" s="2">
        <v>5</v>
      </c>
      <c r="Y172" s="3" t="s">
        <v>169</v>
      </c>
    </row>
    <row r="173" spans="2:26" x14ac:dyDescent="0.3">
      <c r="B173" s="76" t="s">
        <v>81</v>
      </c>
      <c r="C173" s="3" t="s">
        <v>146</v>
      </c>
      <c r="D173" s="3" t="s">
        <v>93</v>
      </c>
      <c r="E173" s="27"/>
      <c r="H173" s="28"/>
      <c r="J173" s="3" t="s">
        <v>17</v>
      </c>
      <c r="K173" s="3" t="s">
        <v>17</v>
      </c>
      <c r="L173" s="28" t="s">
        <v>17</v>
      </c>
      <c r="N173" s="3" t="s">
        <v>17</v>
      </c>
      <c r="O173" s="3" t="s">
        <v>17</v>
      </c>
      <c r="P173" s="28" t="s">
        <v>17</v>
      </c>
      <c r="T173" s="28"/>
      <c r="W173" s="28"/>
      <c r="X173" s="2">
        <v>10</v>
      </c>
      <c r="Y173" s="3" t="s">
        <v>168</v>
      </c>
    </row>
    <row r="174" spans="2:26" hidden="1" x14ac:dyDescent="0.3">
      <c r="B174" s="76" t="s">
        <v>20</v>
      </c>
      <c r="C174" s="3" t="s">
        <v>116</v>
      </c>
      <c r="D174" s="3" t="s">
        <v>83</v>
      </c>
      <c r="E174" s="27"/>
      <c r="H174" s="28"/>
      <c r="I174" s="3" t="s">
        <v>17</v>
      </c>
      <c r="J174" s="3" t="s">
        <v>17</v>
      </c>
      <c r="K174" s="3" t="s">
        <v>17</v>
      </c>
      <c r="L174" s="28"/>
      <c r="N174" s="3" t="s">
        <v>17</v>
      </c>
      <c r="O174" s="3" t="s">
        <v>17</v>
      </c>
      <c r="P174" s="28"/>
      <c r="T174" s="28"/>
      <c r="W174" s="28"/>
      <c r="X174" s="2">
        <v>10</v>
      </c>
      <c r="Y174" s="3" t="s">
        <v>169</v>
      </c>
    </row>
    <row r="175" spans="2:26" hidden="1" x14ac:dyDescent="0.3">
      <c r="B175" s="76" t="s">
        <v>21</v>
      </c>
      <c r="C175" s="3" t="s">
        <v>116</v>
      </c>
      <c r="D175" s="3" t="s">
        <v>82</v>
      </c>
      <c r="E175" s="27"/>
      <c r="H175" s="28"/>
      <c r="K175" s="3" t="s">
        <v>17</v>
      </c>
      <c r="L175" s="28" t="s">
        <v>17</v>
      </c>
      <c r="N175" s="3" t="s">
        <v>17</v>
      </c>
      <c r="O175" s="3" t="s">
        <v>17</v>
      </c>
      <c r="P175" s="28" t="s">
        <v>17</v>
      </c>
      <c r="T175" s="28"/>
      <c r="W175" s="28"/>
      <c r="X175" s="2">
        <v>8</v>
      </c>
      <c r="Y175" s="3" t="s">
        <v>169</v>
      </c>
    </row>
    <row r="176" spans="2:26" hidden="1" x14ac:dyDescent="0.3">
      <c r="B176" s="76" t="s">
        <v>22</v>
      </c>
      <c r="C176" s="3" t="s">
        <v>116</v>
      </c>
      <c r="D176" s="3" t="s">
        <v>121</v>
      </c>
      <c r="E176" s="27"/>
      <c r="H176" s="28"/>
      <c r="J176" s="3" t="s">
        <v>17</v>
      </c>
      <c r="K176" s="3" t="s">
        <v>17</v>
      </c>
      <c r="L176" s="28" t="s">
        <v>17</v>
      </c>
      <c r="N176" s="3" t="s">
        <v>17</v>
      </c>
      <c r="O176" s="3" t="s">
        <v>17</v>
      </c>
      <c r="P176" s="28"/>
      <c r="T176" s="28"/>
      <c r="W176" s="28"/>
      <c r="X176" s="2">
        <v>9</v>
      </c>
      <c r="Y176" s="3" t="s">
        <v>169</v>
      </c>
    </row>
    <row r="177" spans="2:25" x14ac:dyDescent="0.3">
      <c r="B177" s="76" t="s">
        <v>82</v>
      </c>
      <c r="C177" s="3" t="s">
        <v>146</v>
      </c>
      <c r="D177" s="3" t="s">
        <v>87</v>
      </c>
      <c r="E177" s="27"/>
      <c r="H177" s="28"/>
      <c r="L177" s="28"/>
      <c r="P177" s="28"/>
      <c r="T177" s="28"/>
      <c r="W177" s="28"/>
      <c r="X177" s="2">
        <v>0</v>
      </c>
      <c r="Y177" s="3" t="s">
        <v>168</v>
      </c>
    </row>
    <row r="178" spans="2:25" hidden="1" x14ac:dyDescent="0.3">
      <c r="B178" s="76" t="s">
        <v>57</v>
      </c>
      <c r="C178" s="3" t="s">
        <v>116</v>
      </c>
      <c r="D178" s="3" t="s">
        <v>121</v>
      </c>
      <c r="E178" s="27"/>
      <c r="H178" s="28"/>
      <c r="L178" s="28"/>
      <c r="P178" s="28"/>
      <c r="T178" s="28"/>
      <c r="W178" s="28"/>
      <c r="X178" s="2">
        <v>0</v>
      </c>
      <c r="Y178" s="3" t="s">
        <v>169</v>
      </c>
    </row>
    <row r="179" spans="2:25" hidden="1" x14ac:dyDescent="0.3">
      <c r="B179" s="76" t="s">
        <v>23</v>
      </c>
      <c r="C179" s="3" t="s">
        <v>116</v>
      </c>
      <c r="D179" s="3" t="s">
        <v>121</v>
      </c>
      <c r="E179" s="27"/>
      <c r="H179" s="28"/>
      <c r="L179" s="28"/>
      <c r="P179" s="28"/>
      <c r="T179" s="28"/>
      <c r="W179" s="28"/>
      <c r="X179" s="2">
        <v>0</v>
      </c>
      <c r="Y179" s="3" t="s">
        <v>169</v>
      </c>
    </row>
    <row r="180" spans="2:25" hidden="1" x14ac:dyDescent="0.3">
      <c r="B180" s="76" t="s">
        <v>58</v>
      </c>
      <c r="C180" s="3" t="s">
        <v>116</v>
      </c>
      <c r="D180" s="3" t="s">
        <v>84</v>
      </c>
      <c r="E180" s="27"/>
      <c r="H180" s="28"/>
      <c r="L180" s="28"/>
      <c r="P180" s="28"/>
      <c r="T180" s="28"/>
      <c r="W180" s="28"/>
      <c r="X180" s="2">
        <v>0</v>
      </c>
      <c r="Y180" s="3" t="s">
        <v>169</v>
      </c>
    </row>
    <row r="181" spans="2:25" x14ac:dyDescent="0.3">
      <c r="B181" s="76" t="s">
        <v>83</v>
      </c>
      <c r="C181" s="3" t="s">
        <v>146</v>
      </c>
      <c r="D181" s="3" t="s">
        <v>85</v>
      </c>
      <c r="E181" s="27"/>
      <c r="H181" s="28"/>
      <c r="L181" s="28"/>
      <c r="P181" s="28"/>
      <c r="T181" s="28"/>
      <c r="W181" s="28"/>
      <c r="X181" s="2">
        <v>0</v>
      </c>
      <c r="Y181" s="3" t="s">
        <v>168</v>
      </c>
    </row>
    <row r="182" spans="2:25" x14ac:dyDescent="0.3">
      <c r="B182" s="76" t="s">
        <v>84</v>
      </c>
      <c r="C182" s="3" t="s">
        <v>146</v>
      </c>
      <c r="D182" s="3" t="s">
        <v>93</v>
      </c>
      <c r="E182" s="27"/>
      <c r="H182" s="28"/>
      <c r="L182" s="28"/>
      <c r="P182" s="28"/>
      <c r="T182" s="28"/>
      <c r="W182" s="28"/>
      <c r="X182" s="2">
        <v>0</v>
      </c>
      <c r="Y182" s="3" t="s">
        <v>168</v>
      </c>
    </row>
    <row r="183" spans="2:25" x14ac:dyDescent="0.3">
      <c r="B183" s="76" t="s">
        <v>85</v>
      </c>
      <c r="C183" s="3" t="s">
        <v>120</v>
      </c>
      <c r="D183" s="3" t="s">
        <v>120</v>
      </c>
      <c r="E183" s="27"/>
      <c r="H183" s="28"/>
      <c r="L183" s="28"/>
      <c r="P183" s="28"/>
      <c r="T183" s="28"/>
      <c r="W183" s="28"/>
      <c r="X183" s="2">
        <v>0</v>
      </c>
      <c r="Y183" s="3" t="s">
        <v>170</v>
      </c>
    </row>
    <row r="184" spans="2:25" hidden="1" x14ac:dyDescent="0.3">
      <c r="B184" s="76" t="s">
        <v>59</v>
      </c>
      <c r="C184" s="3" t="s">
        <v>116</v>
      </c>
      <c r="D184" s="3" t="s">
        <v>84</v>
      </c>
      <c r="E184" s="27"/>
      <c r="H184" s="28"/>
      <c r="L184" s="28"/>
      <c r="P184" s="28"/>
      <c r="T184" s="28"/>
      <c r="W184" s="28"/>
      <c r="X184" s="2">
        <v>0</v>
      </c>
      <c r="Y184" s="3" t="s">
        <v>169</v>
      </c>
    </row>
    <row r="185" spans="2:25" hidden="1" x14ac:dyDescent="0.3">
      <c r="B185" s="76" t="s">
        <v>129</v>
      </c>
      <c r="C185" s="3" t="s">
        <v>116</v>
      </c>
      <c r="D185" s="3" t="s">
        <v>89</v>
      </c>
      <c r="E185" s="27"/>
      <c r="H185" s="28"/>
      <c r="L185" s="28"/>
      <c r="P185" s="28"/>
      <c r="T185" s="28"/>
      <c r="W185" s="28"/>
      <c r="X185" s="2">
        <v>0</v>
      </c>
      <c r="Y185" s="3" t="s">
        <v>169</v>
      </c>
    </row>
    <row r="186" spans="2:25" hidden="1" x14ac:dyDescent="0.3">
      <c r="B186" s="76" t="s">
        <v>24</v>
      </c>
      <c r="C186" s="3" t="s">
        <v>116</v>
      </c>
      <c r="D186" s="3" t="s">
        <v>122</v>
      </c>
      <c r="E186" s="27"/>
      <c r="H186" s="28"/>
      <c r="L186" s="28"/>
      <c r="P186" s="28"/>
      <c r="T186" s="28"/>
      <c r="W186" s="28"/>
      <c r="X186" s="2">
        <v>0</v>
      </c>
      <c r="Y186" s="3" t="s">
        <v>169</v>
      </c>
    </row>
    <row r="187" spans="2:25" hidden="1" x14ac:dyDescent="0.3">
      <c r="B187" s="76" t="s">
        <v>60</v>
      </c>
      <c r="C187" s="3" t="s">
        <v>116</v>
      </c>
      <c r="D187" s="3" t="s">
        <v>88</v>
      </c>
      <c r="E187" s="27"/>
      <c r="H187" s="28"/>
      <c r="L187" s="28"/>
      <c r="P187" s="28"/>
      <c r="T187" s="28"/>
      <c r="W187" s="28"/>
      <c r="X187" s="2">
        <v>0</v>
      </c>
      <c r="Y187" s="3" t="s">
        <v>169</v>
      </c>
    </row>
    <row r="188" spans="2:25" hidden="1" x14ac:dyDescent="0.3">
      <c r="B188" s="76" t="s">
        <v>25</v>
      </c>
      <c r="C188" s="3" t="s">
        <v>116</v>
      </c>
      <c r="D188" s="3" t="s">
        <v>83</v>
      </c>
      <c r="E188" s="27"/>
      <c r="H188" s="28"/>
      <c r="L188" s="28"/>
      <c r="P188" s="28"/>
      <c r="T188" s="28"/>
      <c r="W188" s="28"/>
      <c r="X188" s="2">
        <v>0</v>
      </c>
      <c r="Y188" s="3" t="s">
        <v>169</v>
      </c>
    </row>
    <row r="189" spans="2:25" hidden="1" x14ac:dyDescent="0.3">
      <c r="B189" s="76" t="s">
        <v>61</v>
      </c>
      <c r="C189" s="3" t="s">
        <v>116</v>
      </c>
      <c r="D189" s="3" t="s">
        <v>94</v>
      </c>
      <c r="E189" s="27"/>
      <c r="H189" s="28"/>
      <c r="L189" s="28"/>
      <c r="P189" s="28"/>
      <c r="T189" s="28"/>
      <c r="W189" s="28"/>
      <c r="X189" s="2">
        <v>0</v>
      </c>
      <c r="Y189" s="3" t="s">
        <v>169</v>
      </c>
    </row>
    <row r="190" spans="2:25" hidden="1" x14ac:dyDescent="0.3">
      <c r="B190" s="76" t="s">
        <v>26</v>
      </c>
      <c r="C190" s="3" t="s">
        <v>116</v>
      </c>
      <c r="D190" s="3" t="s">
        <v>91</v>
      </c>
      <c r="E190" s="27"/>
      <c r="H190" s="28"/>
      <c r="L190" s="28"/>
      <c r="P190" s="28"/>
      <c r="T190" s="28"/>
      <c r="W190" s="28"/>
      <c r="X190" s="2">
        <v>0</v>
      </c>
      <c r="Y190" s="3" t="s">
        <v>169</v>
      </c>
    </row>
    <row r="191" spans="2:25" hidden="1" x14ac:dyDescent="0.3">
      <c r="B191" s="76" t="s">
        <v>62</v>
      </c>
      <c r="C191" s="3" t="s">
        <v>116</v>
      </c>
      <c r="D191" s="3" t="s">
        <v>81</v>
      </c>
      <c r="E191" s="27"/>
      <c r="H191" s="28"/>
      <c r="L191" s="28"/>
      <c r="P191" s="28"/>
      <c r="T191" s="28"/>
      <c r="W191" s="28"/>
      <c r="X191" s="2">
        <v>0</v>
      </c>
      <c r="Y191" s="3" t="s">
        <v>169</v>
      </c>
    </row>
    <row r="192" spans="2:25" x14ac:dyDescent="0.3">
      <c r="B192" s="76" t="s">
        <v>122</v>
      </c>
      <c r="C192" s="3" t="s">
        <v>146</v>
      </c>
      <c r="D192" s="3" t="s">
        <v>93</v>
      </c>
      <c r="E192" s="27"/>
      <c r="H192" s="28"/>
      <c r="L192" s="28"/>
      <c r="P192" s="28"/>
      <c r="T192" s="28"/>
      <c r="W192" s="28"/>
      <c r="X192" s="2">
        <v>0</v>
      </c>
      <c r="Y192" s="3" t="s">
        <v>168</v>
      </c>
    </row>
    <row r="193" spans="2:25" x14ac:dyDescent="0.3">
      <c r="B193" s="76" t="s">
        <v>121</v>
      </c>
      <c r="C193" s="3" t="s">
        <v>146</v>
      </c>
      <c r="D193" s="3" t="s">
        <v>85</v>
      </c>
      <c r="E193" s="27"/>
      <c r="H193" s="28"/>
      <c r="L193" s="28"/>
      <c r="P193" s="28"/>
      <c r="T193" s="28"/>
      <c r="W193" s="28"/>
      <c r="X193" s="2">
        <v>0</v>
      </c>
      <c r="Y193" s="3" t="s">
        <v>168</v>
      </c>
    </row>
    <row r="194" spans="2:25" hidden="1" x14ac:dyDescent="0.3">
      <c r="B194" s="76" t="s">
        <v>27</v>
      </c>
      <c r="C194" s="3" t="s">
        <v>116</v>
      </c>
      <c r="D194" s="3" t="s">
        <v>89</v>
      </c>
      <c r="E194" s="27"/>
      <c r="H194" s="28"/>
      <c r="L194" s="28"/>
      <c r="P194" s="28"/>
      <c r="T194" s="28"/>
      <c r="W194" s="28"/>
      <c r="X194" s="2">
        <v>0</v>
      </c>
      <c r="Y194" s="3" t="s">
        <v>169</v>
      </c>
    </row>
    <row r="195" spans="2:25" hidden="1" x14ac:dyDescent="0.3">
      <c r="B195" s="76" t="s">
        <v>28</v>
      </c>
      <c r="C195" s="3" t="s">
        <v>116</v>
      </c>
      <c r="D195" s="3" t="s">
        <v>94</v>
      </c>
      <c r="E195" s="27"/>
      <c r="H195" s="28"/>
      <c r="L195" s="28"/>
      <c r="P195" s="28"/>
      <c r="T195" s="28"/>
      <c r="W195" s="28"/>
      <c r="X195" s="2">
        <v>0</v>
      </c>
      <c r="Y195" s="3" t="s">
        <v>169</v>
      </c>
    </row>
    <row r="196" spans="2:25" hidden="1" x14ac:dyDescent="0.3">
      <c r="B196" s="76" t="s">
        <v>77</v>
      </c>
      <c r="C196" s="3" t="s">
        <v>118</v>
      </c>
      <c r="D196" s="3" t="s">
        <v>88</v>
      </c>
      <c r="E196" s="27"/>
      <c r="H196" s="28"/>
      <c r="L196" s="28"/>
      <c r="P196" s="28"/>
      <c r="T196" s="28"/>
      <c r="W196" s="28"/>
      <c r="X196" s="2">
        <v>0</v>
      </c>
      <c r="Y196" s="3" t="s">
        <v>171</v>
      </c>
    </row>
    <row r="197" spans="2:25" hidden="1" x14ac:dyDescent="0.3">
      <c r="B197" s="76" t="s">
        <v>29</v>
      </c>
      <c r="C197" s="3" t="s">
        <v>116</v>
      </c>
      <c r="D197" s="3" t="s">
        <v>81</v>
      </c>
      <c r="E197" s="27"/>
      <c r="H197" s="28"/>
      <c r="L197" s="28"/>
      <c r="P197" s="28"/>
      <c r="T197" s="28"/>
      <c r="W197" s="28"/>
      <c r="X197" s="2">
        <v>0</v>
      </c>
      <c r="Y197" s="3" t="s">
        <v>169</v>
      </c>
    </row>
    <row r="198" spans="2:25" hidden="1" x14ac:dyDescent="0.3">
      <c r="B198" s="76" t="s">
        <v>30</v>
      </c>
      <c r="C198" s="3" t="s">
        <v>116</v>
      </c>
      <c r="D198" s="3" t="s">
        <v>91</v>
      </c>
      <c r="E198" s="27"/>
      <c r="H198" s="28"/>
      <c r="L198" s="28"/>
      <c r="P198" s="28"/>
      <c r="T198" s="28"/>
      <c r="W198" s="28"/>
      <c r="X198" s="2">
        <v>0</v>
      </c>
      <c r="Y198" s="3" t="s">
        <v>169</v>
      </c>
    </row>
    <row r="199" spans="2:25" hidden="1" x14ac:dyDescent="0.3">
      <c r="B199" s="76" t="s">
        <v>78</v>
      </c>
      <c r="C199" s="3" t="s">
        <v>118</v>
      </c>
      <c r="D199" s="3" t="s">
        <v>90</v>
      </c>
      <c r="E199" s="27"/>
      <c r="H199" s="28"/>
      <c r="L199" s="28"/>
      <c r="P199" s="28"/>
      <c r="T199" s="28"/>
      <c r="W199" s="28"/>
      <c r="X199" s="2">
        <v>0</v>
      </c>
      <c r="Y199" s="3" t="s">
        <v>171</v>
      </c>
    </row>
    <row r="200" spans="2:25" hidden="1" x14ac:dyDescent="0.3">
      <c r="B200" s="76" t="s">
        <v>31</v>
      </c>
      <c r="C200" s="3" t="s">
        <v>116</v>
      </c>
      <c r="D200" s="3" t="s">
        <v>83</v>
      </c>
      <c r="E200" s="27"/>
      <c r="H200" s="28"/>
      <c r="L200" s="28"/>
      <c r="P200" s="28"/>
      <c r="T200" s="28"/>
      <c r="W200" s="28"/>
      <c r="X200" s="2">
        <v>0</v>
      </c>
      <c r="Y200" s="3" t="s">
        <v>169</v>
      </c>
    </row>
    <row r="201" spans="2:25" hidden="1" x14ac:dyDescent="0.3">
      <c r="B201" s="76" t="s">
        <v>63</v>
      </c>
      <c r="C201" s="3" t="s">
        <v>116</v>
      </c>
      <c r="D201" s="3" t="s">
        <v>122</v>
      </c>
      <c r="E201" s="27"/>
      <c r="H201" s="28"/>
      <c r="L201" s="28"/>
      <c r="P201" s="28"/>
      <c r="T201" s="28"/>
      <c r="W201" s="28"/>
      <c r="X201" s="2">
        <v>0</v>
      </c>
      <c r="Y201" s="3" t="s">
        <v>169</v>
      </c>
    </row>
    <row r="202" spans="2:25" hidden="1" x14ac:dyDescent="0.3">
      <c r="B202" s="76" t="s">
        <v>32</v>
      </c>
      <c r="C202" s="3" t="s">
        <v>116</v>
      </c>
      <c r="D202" s="3" t="s">
        <v>82</v>
      </c>
      <c r="E202" s="27"/>
      <c r="H202" s="28"/>
      <c r="L202" s="28"/>
      <c r="P202" s="28"/>
      <c r="T202" s="28"/>
      <c r="W202" s="28"/>
      <c r="X202" s="2">
        <v>0</v>
      </c>
      <c r="Y202" s="3" t="s">
        <v>169</v>
      </c>
    </row>
    <row r="203" spans="2:25" hidden="1" x14ac:dyDescent="0.3">
      <c r="B203" s="76" t="s">
        <v>65</v>
      </c>
      <c r="C203" s="3" t="s">
        <v>116</v>
      </c>
      <c r="D203" s="3" t="s">
        <v>82</v>
      </c>
      <c r="E203" s="27"/>
      <c r="H203" s="28"/>
      <c r="L203" s="28"/>
      <c r="P203" s="28"/>
      <c r="T203" s="28"/>
      <c r="W203" s="28"/>
      <c r="X203" s="2">
        <v>0</v>
      </c>
      <c r="Y203" s="3" t="s">
        <v>169</v>
      </c>
    </row>
    <row r="204" spans="2:25" hidden="1" x14ac:dyDescent="0.3">
      <c r="B204" s="76" t="s">
        <v>79</v>
      </c>
      <c r="C204" s="3" t="s">
        <v>118</v>
      </c>
      <c r="D204" s="3" t="s">
        <v>83</v>
      </c>
      <c r="E204" s="27"/>
      <c r="H204" s="28"/>
      <c r="L204" s="28"/>
      <c r="P204" s="28"/>
      <c r="T204" s="28"/>
      <c r="W204" s="28"/>
      <c r="X204" s="2">
        <v>0</v>
      </c>
      <c r="Y204" s="3" t="s">
        <v>171</v>
      </c>
    </row>
    <row r="205" spans="2:25" hidden="1" x14ac:dyDescent="0.3">
      <c r="B205" s="76" t="s">
        <v>66</v>
      </c>
      <c r="C205" s="3" t="s">
        <v>116</v>
      </c>
      <c r="D205" s="3" t="s">
        <v>83</v>
      </c>
      <c r="E205" s="27"/>
      <c r="H205" s="28"/>
      <c r="L205" s="28"/>
      <c r="P205" s="28"/>
      <c r="T205" s="28"/>
      <c r="W205" s="28"/>
      <c r="X205" s="2">
        <v>0</v>
      </c>
      <c r="Y205" s="3" t="s">
        <v>169</v>
      </c>
    </row>
    <row r="206" spans="2:25" hidden="1" x14ac:dyDescent="0.3">
      <c r="B206" s="76" t="s">
        <v>33</v>
      </c>
      <c r="C206" s="3" t="s">
        <v>116</v>
      </c>
      <c r="D206" s="3" t="s">
        <v>88</v>
      </c>
      <c r="E206" s="27"/>
      <c r="H206" s="28"/>
      <c r="L206" s="28" t="s">
        <v>17</v>
      </c>
      <c r="N206" s="3" t="s">
        <v>17</v>
      </c>
      <c r="O206" s="3" t="s">
        <v>17</v>
      </c>
      <c r="P206" s="28"/>
      <c r="R206" s="3" t="s">
        <v>17</v>
      </c>
      <c r="S206" s="3" t="s">
        <v>17</v>
      </c>
      <c r="T206" s="28"/>
      <c r="U206" s="3" t="s">
        <v>17</v>
      </c>
      <c r="V206" s="3" t="s">
        <v>17</v>
      </c>
      <c r="W206" s="28"/>
      <c r="X206" s="2">
        <v>13</v>
      </c>
      <c r="Y206" s="3" t="s">
        <v>169</v>
      </c>
    </row>
    <row r="207" spans="2:25" hidden="1" x14ac:dyDescent="0.3">
      <c r="B207" s="76" t="s">
        <v>67</v>
      </c>
      <c r="C207" s="3" t="s">
        <v>116</v>
      </c>
      <c r="D207" s="3" t="s">
        <v>90</v>
      </c>
      <c r="E207" s="27"/>
      <c r="H207" s="28"/>
      <c r="L207" s="28"/>
      <c r="P207" s="28"/>
      <c r="T207" s="28"/>
      <c r="W207" s="28"/>
      <c r="X207" s="2">
        <v>0</v>
      </c>
      <c r="Y207" s="3" t="s">
        <v>169</v>
      </c>
    </row>
    <row r="208" spans="2:25" hidden="1" x14ac:dyDescent="0.3">
      <c r="B208" s="76" t="s">
        <v>34</v>
      </c>
      <c r="C208" s="3" t="s">
        <v>116</v>
      </c>
      <c r="D208" s="3" t="s">
        <v>122</v>
      </c>
      <c r="E208" s="27"/>
      <c r="H208" s="28"/>
      <c r="L208" s="28"/>
      <c r="P208" s="28"/>
      <c r="T208" s="28"/>
      <c r="W208" s="28"/>
      <c r="X208" s="2">
        <v>0</v>
      </c>
      <c r="Y208" s="3" t="s">
        <v>169</v>
      </c>
    </row>
    <row r="209" spans="2:25" hidden="1" x14ac:dyDescent="0.3">
      <c r="B209" s="76" t="s">
        <v>35</v>
      </c>
      <c r="C209" s="3" t="s">
        <v>116</v>
      </c>
      <c r="D209" s="3" t="s">
        <v>121</v>
      </c>
      <c r="E209" s="27"/>
      <c r="H209" s="28"/>
      <c r="L209" s="28"/>
      <c r="P209" s="28"/>
      <c r="T209" s="28"/>
      <c r="W209" s="28"/>
      <c r="X209" s="2">
        <v>0</v>
      </c>
      <c r="Y209" s="3" t="s">
        <v>169</v>
      </c>
    </row>
    <row r="210" spans="2:25" hidden="1" x14ac:dyDescent="0.3">
      <c r="B210" s="76" t="s">
        <v>80</v>
      </c>
      <c r="C210" s="3" t="s">
        <v>118</v>
      </c>
      <c r="D210" s="3" t="s">
        <v>121</v>
      </c>
      <c r="E210" s="27"/>
      <c r="H210" s="28"/>
      <c r="L210" s="28"/>
      <c r="P210" s="28"/>
      <c r="T210" s="28"/>
      <c r="W210" s="28"/>
      <c r="X210" s="2">
        <v>0</v>
      </c>
      <c r="Y210" s="3" t="s">
        <v>171</v>
      </c>
    </row>
    <row r="211" spans="2:25" x14ac:dyDescent="0.3">
      <c r="B211" s="76" t="s">
        <v>87</v>
      </c>
      <c r="C211" s="3" t="s">
        <v>120</v>
      </c>
      <c r="D211" s="3" t="s">
        <v>120</v>
      </c>
      <c r="E211" s="27"/>
      <c r="H211" s="28"/>
      <c r="L211" s="28"/>
      <c r="P211" s="28"/>
      <c r="T211" s="28"/>
      <c r="W211" s="28"/>
      <c r="X211" s="2">
        <v>0</v>
      </c>
      <c r="Y211" s="3" t="s">
        <v>170</v>
      </c>
    </row>
    <row r="212" spans="2:25" hidden="1" x14ac:dyDescent="0.3">
      <c r="B212" s="76" t="s">
        <v>36</v>
      </c>
      <c r="C212" s="3" t="s">
        <v>116</v>
      </c>
      <c r="D212" s="3" t="s">
        <v>90</v>
      </c>
      <c r="E212" s="27"/>
      <c r="H212" s="28"/>
      <c r="L212" s="28"/>
      <c r="P212" s="28"/>
      <c r="T212" s="28"/>
      <c r="W212" s="28"/>
      <c r="X212" s="2">
        <v>0</v>
      </c>
      <c r="Y212" s="3" t="s">
        <v>169</v>
      </c>
    </row>
    <row r="213" spans="2:25" x14ac:dyDescent="0.3">
      <c r="B213" s="76" t="s">
        <v>88</v>
      </c>
      <c r="C213" s="3" t="s">
        <v>146</v>
      </c>
      <c r="D213" s="3" t="s">
        <v>85</v>
      </c>
      <c r="E213" s="27"/>
      <c r="H213" s="28"/>
      <c r="L213" s="28"/>
      <c r="P213" s="28"/>
      <c r="T213" s="28"/>
      <c r="W213" s="28"/>
      <c r="X213" s="2">
        <v>0</v>
      </c>
      <c r="Y213" s="3" t="s">
        <v>168</v>
      </c>
    </row>
    <row r="214" spans="2:25" hidden="1" x14ac:dyDescent="0.3">
      <c r="B214" s="76" t="s">
        <v>37</v>
      </c>
      <c r="C214" s="3" t="s">
        <v>116</v>
      </c>
      <c r="D214" s="3" t="s">
        <v>84</v>
      </c>
      <c r="E214" s="27"/>
      <c r="H214" s="28"/>
      <c r="L214" s="28"/>
      <c r="P214" s="28"/>
      <c r="T214" s="28"/>
      <c r="W214" s="28"/>
      <c r="X214" s="2">
        <v>0</v>
      </c>
      <c r="Y214" s="3" t="s">
        <v>169</v>
      </c>
    </row>
    <row r="215" spans="2:25" hidden="1" x14ac:dyDescent="0.3">
      <c r="B215" s="76" t="s">
        <v>68</v>
      </c>
      <c r="C215" s="3" t="s">
        <v>116</v>
      </c>
      <c r="D215" s="3" t="s">
        <v>82</v>
      </c>
      <c r="E215" s="27"/>
      <c r="H215" s="28"/>
      <c r="L215" s="28" t="s">
        <v>17</v>
      </c>
      <c r="N215" s="3" t="s">
        <v>17</v>
      </c>
      <c r="O215" s="3" t="s">
        <v>17</v>
      </c>
      <c r="P215" s="28"/>
      <c r="R215" s="3" t="s">
        <v>17</v>
      </c>
      <c r="S215" s="3" t="s">
        <v>17</v>
      </c>
      <c r="T215" s="28"/>
      <c r="U215" s="3" t="s">
        <v>17</v>
      </c>
      <c r="V215" s="3" t="s">
        <v>17</v>
      </c>
      <c r="W215" s="28"/>
      <c r="X215" s="2">
        <v>13</v>
      </c>
      <c r="Y215" s="3" t="s">
        <v>169</v>
      </c>
    </row>
    <row r="216" spans="2:25" x14ac:dyDescent="0.3">
      <c r="B216" s="76" t="s">
        <v>90</v>
      </c>
      <c r="C216" s="3" t="s">
        <v>146</v>
      </c>
      <c r="D216" s="3" t="s">
        <v>87</v>
      </c>
      <c r="E216" s="27"/>
      <c r="H216" s="28"/>
      <c r="L216" s="28"/>
      <c r="P216" s="28"/>
      <c r="T216" s="28"/>
      <c r="W216" s="28"/>
      <c r="X216" s="2">
        <v>0</v>
      </c>
      <c r="Y216" s="3" t="s">
        <v>168</v>
      </c>
    </row>
    <row r="217" spans="2:25" hidden="1" x14ac:dyDescent="0.3">
      <c r="B217" s="76" t="s">
        <v>38</v>
      </c>
      <c r="C217" s="3" t="s">
        <v>116</v>
      </c>
      <c r="D217" s="3" t="s">
        <v>121</v>
      </c>
      <c r="E217" s="27"/>
      <c r="H217" s="28"/>
      <c r="L217" s="28"/>
      <c r="P217" s="28"/>
      <c r="T217" s="28"/>
      <c r="W217" s="28"/>
      <c r="X217" s="2">
        <v>0</v>
      </c>
      <c r="Y217" s="3" t="s">
        <v>169</v>
      </c>
    </row>
    <row r="218" spans="2:25" hidden="1" x14ac:dyDescent="0.3">
      <c r="B218" s="76" t="s">
        <v>69</v>
      </c>
      <c r="C218" s="3" t="s">
        <v>116</v>
      </c>
      <c r="D218" s="3" t="s">
        <v>92</v>
      </c>
      <c r="E218" s="27"/>
      <c r="H218" s="28"/>
      <c r="L218" s="28" t="s">
        <v>17</v>
      </c>
      <c r="N218" s="3" t="s">
        <v>17</v>
      </c>
      <c r="P218" s="28" t="s">
        <v>17</v>
      </c>
      <c r="T218" s="28"/>
      <c r="W218" s="28"/>
      <c r="X218" s="2">
        <v>4</v>
      </c>
      <c r="Y218" s="3" t="s">
        <v>169</v>
      </c>
    </row>
    <row r="219" spans="2:25" hidden="1" x14ac:dyDescent="0.3">
      <c r="B219" s="76" t="s">
        <v>39</v>
      </c>
      <c r="C219" s="3" t="s">
        <v>116</v>
      </c>
      <c r="D219" s="3" t="s">
        <v>81</v>
      </c>
      <c r="E219" s="27"/>
      <c r="H219" s="28"/>
      <c r="L219" s="28"/>
      <c r="P219" s="28"/>
      <c r="T219" s="28"/>
      <c r="W219" s="28"/>
      <c r="X219" s="2">
        <v>0</v>
      </c>
      <c r="Y219" s="3" t="s">
        <v>169</v>
      </c>
    </row>
    <row r="220" spans="2:25" hidden="1" x14ac:dyDescent="0.3">
      <c r="B220" s="76" t="s">
        <v>40</v>
      </c>
      <c r="C220" s="3" t="s">
        <v>116</v>
      </c>
      <c r="D220" s="3" t="s">
        <v>92</v>
      </c>
      <c r="E220" s="27"/>
      <c r="H220" s="28"/>
      <c r="L220" s="28"/>
      <c r="P220" s="28"/>
      <c r="T220" s="28"/>
      <c r="W220" s="28"/>
      <c r="X220" s="2">
        <v>0</v>
      </c>
      <c r="Y220" s="3" t="s">
        <v>169</v>
      </c>
    </row>
    <row r="221" spans="2:25" hidden="1" x14ac:dyDescent="0.3">
      <c r="B221" s="76" t="s">
        <v>41</v>
      </c>
      <c r="C221" s="3" t="s">
        <v>116</v>
      </c>
      <c r="D221" s="3" t="s">
        <v>122</v>
      </c>
      <c r="E221" s="27"/>
      <c r="H221" s="28"/>
      <c r="L221" s="28"/>
      <c r="P221" s="28"/>
      <c r="T221" s="28"/>
      <c r="W221" s="28"/>
      <c r="X221" s="2">
        <v>0</v>
      </c>
      <c r="Y221" s="3" t="s">
        <v>169</v>
      </c>
    </row>
    <row r="222" spans="2:25" hidden="1" x14ac:dyDescent="0.3">
      <c r="B222" s="76" t="s">
        <v>42</v>
      </c>
      <c r="C222" s="3" t="s">
        <v>116</v>
      </c>
      <c r="D222" s="3" t="s">
        <v>88</v>
      </c>
      <c r="E222" s="27"/>
      <c r="H222" s="28"/>
      <c r="L222" s="28"/>
      <c r="P222" s="28"/>
      <c r="T222" s="28"/>
      <c r="W222" s="28"/>
      <c r="X222" s="2">
        <v>0</v>
      </c>
      <c r="Y222" s="3" t="s">
        <v>169</v>
      </c>
    </row>
    <row r="223" spans="2:25" hidden="1" x14ac:dyDescent="0.3">
      <c r="B223" s="76" t="s">
        <v>43</v>
      </c>
      <c r="C223" s="3" t="s">
        <v>116</v>
      </c>
      <c r="D223" s="3" t="s">
        <v>91</v>
      </c>
      <c r="E223" s="27"/>
      <c r="H223" s="28"/>
      <c r="L223" s="28"/>
      <c r="P223" s="28"/>
      <c r="T223" s="28"/>
      <c r="W223" s="28"/>
      <c r="X223" s="2">
        <v>0</v>
      </c>
      <c r="Y223" s="3" t="s">
        <v>169</v>
      </c>
    </row>
    <row r="224" spans="2:25" hidden="1" x14ac:dyDescent="0.3">
      <c r="B224" s="76" t="s">
        <v>70</v>
      </c>
      <c r="C224" s="3" t="s">
        <v>116</v>
      </c>
      <c r="D224" s="3" t="s">
        <v>92</v>
      </c>
      <c r="E224" s="27"/>
      <c r="H224" s="28"/>
      <c r="L224" s="28"/>
      <c r="P224" s="28"/>
      <c r="T224" s="28"/>
      <c r="W224" s="28"/>
      <c r="X224" s="2">
        <v>0</v>
      </c>
      <c r="Y224" s="3" t="s">
        <v>169</v>
      </c>
    </row>
    <row r="225" spans="2:25" x14ac:dyDescent="0.3">
      <c r="B225" s="76" t="s">
        <v>91</v>
      </c>
      <c r="C225" s="3" t="s">
        <v>146</v>
      </c>
      <c r="D225" s="3" t="s">
        <v>85</v>
      </c>
      <c r="E225" s="27"/>
      <c r="H225" s="28"/>
      <c r="L225" s="28"/>
      <c r="P225" s="28"/>
      <c r="T225" s="28"/>
      <c r="W225" s="28"/>
      <c r="X225" s="2">
        <v>0</v>
      </c>
      <c r="Y225" s="3" t="s">
        <v>168</v>
      </c>
    </row>
    <row r="226" spans="2:25" hidden="1" x14ac:dyDescent="0.3">
      <c r="B226" s="76" t="s">
        <v>71</v>
      </c>
      <c r="C226" s="3" t="s">
        <v>116</v>
      </c>
      <c r="D226" s="3" t="s">
        <v>91</v>
      </c>
      <c r="E226" s="27"/>
      <c r="H226" s="28"/>
      <c r="L226" s="28"/>
      <c r="P226" s="28"/>
      <c r="T226" s="28"/>
      <c r="W226" s="28"/>
      <c r="X226" s="2">
        <v>0</v>
      </c>
      <c r="Y226" s="3" t="s">
        <v>169</v>
      </c>
    </row>
    <row r="227" spans="2:25" hidden="1" x14ac:dyDescent="0.3">
      <c r="B227" s="76" t="s">
        <v>44</v>
      </c>
      <c r="C227" s="3" t="s">
        <v>116</v>
      </c>
      <c r="D227" s="3" t="s">
        <v>94</v>
      </c>
      <c r="E227" s="27"/>
      <c r="H227" s="28"/>
      <c r="L227" s="28"/>
      <c r="P227" s="28"/>
      <c r="T227" s="28"/>
      <c r="W227" s="28"/>
      <c r="X227" s="2">
        <v>0</v>
      </c>
      <c r="Y227" s="3" t="s">
        <v>169</v>
      </c>
    </row>
    <row r="228" spans="2:25" hidden="1" x14ac:dyDescent="0.3">
      <c r="B228" s="76" t="s">
        <v>45</v>
      </c>
      <c r="C228" s="3" t="s">
        <v>116</v>
      </c>
      <c r="D228" s="3" t="s">
        <v>92</v>
      </c>
      <c r="E228" s="27"/>
      <c r="H228" s="28"/>
      <c r="L228" s="28"/>
      <c r="P228" s="28"/>
      <c r="T228" s="28"/>
      <c r="W228" s="28"/>
      <c r="X228" s="2">
        <v>0</v>
      </c>
      <c r="Y228" s="3" t="s">
        <v>169</v>
      </c>
    </row>
    <row r="229" spans="2:25" hidden="1" x14ac:dyDescent="0.3">
      <c r="B229" s="76" t="s">
        <v>46</v>
      </c>
      <c r="C229" s="3" t="s">
        <v>116</v>
      </c>
      <c r="D229" s="3" t="s">
        <v>94</v>
      </c>
      <c r="E229" s="27"/>
      <c r="H229" s="28"/>
      <c r="L229" s="28"/>
      <c r="P229" s="28"/>
      <c r="T229" s="28"/>
      <c r="W229" s="28"/>
      <c r="X229" s="2">
        <v>0</v>
      </c>
      <c r="Y229" s="3" t="s">
        <v>169</v>
      </c>
    </row>
    <row r="230" spans="2:25" x14ac:dyDescent="0.3">
      <c r="B230" s="76" t="s">
        <v>92</v>
      </c>
      <c r="C230" s="3" t="s">
        <v>146</v>
      </c>
      <c r="D230" s="3" t="s">
        <v>87</v>
      </c>
      <c r="E230" s="27"/>
      <c r="H230" s="28"/>
      <c r="L230" s="28"/>
      <c r="P230" s="28"/>
      <c r="T230" s="28"/>
      <c r="W230" s="28"/>
      <c r="X230" s="2">
        <v>0</v>
      </c>
      <c r="Y230" s="3" t="s">
        <v>168</v>
      </c>
    </row>
    <row r="231" spans="2:25" hidden="1" x14ac:dyDescent="0.3">
      <c r="B231" s="76" t="s">
        <v>72</v>
      </c>
      <c r="C231" s="3" t="s">
        <v>116</v>
      </c>
      <c r="D231" s="3" t="s">
        <v>84</v>
      </c>
      <c r="E231" s="27"/>
      <c r="H231" s="28"/>
      <c r="L231" s="28"/>
      <c r="P231" s="28"/>
      <c r="T231" s="28"/>
      <c r="W231" s="28"/>
      <c r="X231" s="2">
        <v>0</v>
      </c>
      <c r="Y231" s="3" t="s">
        <v>169</v>
      </c>
    </row>
    <row r="232" spans="2:25" hidden="1" x14ac:dyDescent="0.3">
      <c r="B232" s="76" t="s">
        <v>47</v>
      </c>
      <c r="C232" s="3" t="s">
        <v>116</v>
      </c>
      <c r="D232" s="3" t="s">
        <v>88</v>
      </c>
      <c r="E232" s="27"/>
      <c r="H232" s="28"/>
      <c r="L232" s="28"/>
      <c r="P232" s="28"/>
      <c r="T232" s="28"/>
      <c r="W232" s="28"/>
      <c r="X232" s="2">
        <v>0</v>
      </c>
      <c r="Y232" s="3" t="s">
        <v>169</v>
      </c>
    </row>
    <row r="233" spans="2:25" hidden="1" x14ac:dyDescent="0.3">
      <c r="B233" s="76" t="s">
        <v>48</v>
      </c>
      <c r="C233" s="3" t="s">
        <v>116</v>
      </c>
      <c r="D233" s="3" t="s">
        <v>89</v>
      </c>
      <c r="E233" s="27"/>
      <c r="H233" s="28"/>
      <c r="L233" s="28"/>
      <c r="P233" s="28"/>
      <c r="T233" s="28"/>
      <c r="W233" s="28"/>
      <c r="X233" s="2">
        <v>0</v>
      </c>
      <c r="Y233" s="3" t="s">
        <v>169</v>
      </c>
    </row>
    <row r="234" spans="2:25" hidden="1" x14ac:dyDescent="0.3">
      <c r="B234" s="76" t="s">
        <v>49</v>
      </c>
      <c r="C234" s="3" t="s">
        <v>116</v>
      </c>
      <c r="D234" s="3" t="s">
        <v>94</v>
      </c>
      <c r="E234" s="27"/>
      <c r="H234" s="28"/>
      <c r="L234" s="28"/>
      <c r="P234" s="28"/>
      <c r="T234" s="28"/>
      <c r="W234" s="28"/>
      <c r="X234" s="2">
        <v>0</v>
      </c>
      <c r="Y234" s="3" t="s">
        <v>169</v>
      </c>
    </row>
    <row r="235" spans="2:25" hidden="1" x14ac:dyDescent="0.3">
      <c r="B235" s="76" t="s">
        <v>73</v>
      </c>
      <c r="C235" s="3" t="s">
        <v>116</v>
      </c>
      <c r="D235" s="3" t="s">
        <v>84</v>
      </c>
      <c r="E235" s="27"/>
      <c r="H235" s="28"/>
      <c r="L235" s="28"/>
      <c r="P235" s="28"/>
      <c r="T235" s="28"/>
      <c r="W235" s="28"/>
      <c r="X235" s="2">
        <v>0</v>
      </c>
      <c r="Y235" s="3" t="s">
        <v>169</v>
      </c>
    </row>
    <row r="236" spans="2:25" hidden="1" x14ac:dyDescent="0.3">
      <c r="B236" s="76" t="s">
        <v>51</v>
      </c>
      <c r="C236" s="3" t="s">
        <v>116</v>
      </c>
      <c r="D236" s="3" t="s">
        <v>91</v>
      </c>
      <c r="E236" s="27"/>
      <c r="H236" s="28"/>
      <c r="L236" s="28"/>
      <c r="P236" s="28"/>
      <c r="T236" s="28"/>
      <c r="W236" s="28"/>
      <c r="X236" s="2">
        <v>0</v>
      </c>
      <c r="Y236" s="3" t="s">
        <v>169</v>
      </c>
    </row>
    <row r="237" spans="2:25" hidden="1" x14ac:dyDescent="0.3">
      <c r="B237" s="76" t="s">
        <v>52</v>
      </c>
      <c r="C237" s="3" t="s">
        <v>116</v>
      </c>
      <c r="D237" s="3" t="s">
        <v>122</v>
      </c>
      <c r="E237" s="27"/>
      <c r="H237" s="28"/>
      <c r="L237" s="28"/>
      <c r="P237" s="28"/>
      <c r="T237" s="28"/>
      <c r="W237" s="28"/>
      <c r="X237" s="2">
        <v>0</v>
      </c>
      <c r="Y237" s="3" t="s">
        <v>169</v>
      </c>
    </row>
    <row r="238" spans="2:25" x14ac:dyDescent="0.3">
      <c r="B238" s="76" t="s">
        <v>93</v>
      </c>
      <c r="C238" s="3" t="s">
        <v>120</v>
      </c>
      <c r="D238" s="3" t="s">
        <v>120</v>
      </c>
      <c r="E238" s="27"/>
      <c r="H238" s="28"/>
      <c r="L238" s="28"/>
      <c r="P238" s="28"/>
      <c r="T238" s="28"/>
      <c r="W238" s="28"/>
      <c r="X238" s="2">
        <v>0</v>
      </c>
      <c r="Y238" s="3" t="s">
        <v>170</v>
      </c>
    </row>
    <row r="239" spans="2:25" x14ac:dyDescent="0.3">
      <c r="B239" s="76" t="s">
        <v>94</v>
      </c>
      <c r="C239" s="3" t="s">
        <v>146</v>
      </c>
      <c r="D239" s="3" t="s">
        <v>93</v>
      </c>
      <c r="E239" s="27"/>
      <c r="H239" s="28"/>
      <c r="J239" s="3" t="s">
        <v>17</v>
      </c>
      <c r="K239" s="3" t="s">
        <v>17</v>
      </c>
      <c r="L239" s="28" t="s">
        <v>17</v>
      </c>
      <c r="N239" s="3" t="s">
        <v>17</v>
      </c>
      <c r="O239" s="3" t="s">
        <v>17</v>
      </c>
      <c r="P239" s="28" t="s">
        <v>17</v>
      </c>
      <c r="T239" s="28"/>
      <c r="W239" s="28"/>
      <c r="X239" s="2">
        <v>10</v>
      </c>
      <c r="Y239" s="3" t="s">
        <v>168</v>
      </c>
    </row>
    <row r="240" spans="2:25" hidden="1" x14ac:dyDescent="0.3">
      <c r="B240" s="76" t="s">
        <v>74</v>
      </c>
      <c r="C240" s="3" t="s">
        <v>116</v>
      </c>
      <c r="D240" s="3" t="s">
        <v>94</v>
      </c>
      <c r="E240" s="27"/>
      <c r="H240" s="28"/>
      <c r="L240" s="28"/>
      <c r="P240" s="28"/>
      <c r="T240" s="28"/>
      <c r="W240" s="28"/>
      <c r="X240" s="2">
        <v>0</v>
      </c>
      <c r="Y240" s="3" t="s">
        <v>169</v>
      </c>
    </row>
    <row r="241" spans="2:25" hidden="1" x14ac:dyDescent="0.3">
      <c r="B241" s="76" t="s">
        <v>53</v>
      </c>
      <c r="C241" s="3" t="s">
        <v>116</v>
      </c>
      <c r="D241" s="3" t="s">
        <v>91</v>
      </c>
      <c r="E241" s="27"/>
      <c r="H241" s="28"/>
      <c r="L241" s="28"/>
      <c r="P241" s="28"/>
      <c r="T241" s="28"/>
      <c r="W241" s="28"/>
      <c r="X241" s="2">
        <v>0</v>
      </c>
      <c r="Y241" s="3" t="s">
        <v>169</v>
      </c>
    </row>
    <row r="242" spans="2:25" hidden="1" x14ac:dyDescent="0.3">
      <c r="B242" s="76" t="s">
        <v>75</v>
      </c>
      <c r="C242" s="3" t="s">
        <v>116</v>
      </c>
      <c r="D242" s="3" t="s">
        <v>89</v>
      </c>
      <c r="E242" s="27"/>
      <c r="H242" s="28"/>
      <c r="J242" s="3" t="s">
        <v>17</v>
      </c>
      <c r="K242" s="3" t="s">
        <v>17</v>
      </c>
      <c r="L242" s="28" t="s">
        <v>17</v>
      </c>
      <c r="N242" s="3" t="s">
        <v>17</v>
      </c>
      <c r="O242" s="3" t="s">
        <v>17</v>
      </c>
      <c r="P242" s="28"/>
      <c r="T242" s="28"/>
      <c r="W242" s="28"/>
      <c r="X242" s="2">
        <v>9</v>
      </c>
      <c r="Y242" s="3" t="s">
        <v>169</v>
      </c>
    </row>
    <row r="243" spans="2:25" hidden="1" x14ac:dyDescent="0.3">
      <c r="B243" s="76" t="s">
        <v>76</v>
      </c>
      <c r="C243" s="3" t="s">
        <v>116</v>
      </c>
      <c r="D243" s="3" t="s">
        <v>82</v>
      </c>
      <c r="E243" s="27"/>
      <c r="H243" s="28"/>
      <c r="J243" s="3" t="s">
        <v>17</v>
      </c>
      <c r="L243" s="28" t="s">
        <v>17</v>
      </c>
      <c r="N243" s="3" t="s">
        <v>17</v>
      </c>
      <c r="O243" s="3" t="s">
        <v>17</v>
      </c>
      <c r="P243" s="28"/>
      <c r="T243" s="28"/>
      <c r="V243" s="3" t="s">
        <v>17</v>
      </c>
      <c r="W243" s="28" t="s">
        <v>17</v>
      </c>
      <c r="X243" s="2">
        <v>11</v>
      </c>
      <c r="Y243" s="3" t="s">
        <v>169</v>
      </c>
    </row>
    <row r="244" spans="2:25" hidden="1" x14ac:dyDescent="0.3">
      <c r="B244" s="76" t="s">
        <v>54</v>
      </c>
      <c r="C244" s="3" t="s">
        <v>116</v>
      </c>
      <c r="D244" s="3" t="s">
        <v>84</v>
      </c>
      <c r="E244" s="27"/>
      <c r="H244" s="28"/>
      <c r="L244" s="28"/>
      <c r="P244" s="28"/>
      <c r="T244" s="28"/>
      <c r="W244" s="28"/>
      <c r="X244" s="2">
        <v>0</v>
      </c>
      <c r="Y244" s="3" t="s">
        <v>169</v>
      </c>
    </row>
    <row r="245" spans="2:25" hidden="1" x14ac:dyDescent="0.3">
      <c r="B245" s="76" t="s">
        <v>55</v>
      </c>
      <c r="C245" s="3" t="s">
        <v>116</v>
      </c>
      <c r="D245" s="3" t="s">
        <v>81</v>
      </c>
      <c r="E245" s="27"/>
      <c r="H245" s="28"/>
      <c r="L245" s="28"/>
      <c r="P245" s="28"/>
      <c r="T245" s="28"/>
      <c r="W245" s="28"/>
      <c r="X245" s="2">
        <v>0</v>
      </c>
      <c r="Y245" s="3" t="s">
        <v>169</v>
      </c>
    </row>
    <row r="246" spans="2:25" hidden="1" x14ac:dyDescent="0.3">
      <c r="B246" s="76" t="s">
        <v>56</v>
      </c>
      <c r="C246" s="3" t="s">
        <v>116</v>
      </c>
      <c r="D246" s="3" t="s">
        <v>92</v>
      </c>
      <c r="E246" s="27"/>
      <c r="H246" s="28"/>
      <c r="L246" s="28"/>
      <c r="P246" s="28"/>
      <c r="T246" s="28"/>
      <c r="W246" s="28"/>
      <c r="X246" s="2">
        <v>0</v>
      </c>
      <c r="Y246" s="3" t="s">
        <v>169</v>
      </c>
    </row>
    <row r="247" spans="2:25" x14ac:dyDescent="0.3">
      <c r="B247" s="3" t="s">
        <v>130</v>
      </c>
      <c r="E247" s="3">
        <f>SUBTOTAL(103,CSchedule_L[SE])</f>
        <v>0</v>
      </c>
      <c r="F247" s="3">
        <f>SUBTOTAL(103,CSchedule_L[S1])</f>
        <v>0</v>
      </c>
      <c r="G247" s="3">
        <f>SUBTOTAL(103,CSchedule_L[S2])</f>
        <v>0</v>
      </c>
      <c r="H247" s="3">
        <f>SUBTOTAL(103,CSchedule_L[SP])</f>
        <v>0</v>
      </c>
      <c r="I247" s="3">
        <f>SUBTOTAL(103,CSchedule_L[TE])</f>
        <v>0</v>
      </c>
      <c r="J247" s="3">
        <f>SUBTOTAL(103,CSchedule_L[T1])</f>
        <v>3</v>
      </c>
      <c r="K247" s="3">
        <f>SUBTOTAL(103,CSchedule_L[T2])</f>
        <v>3</v>
      </c>
      <c r="L247" s="3">
        <f>SUBTOTAL(103,CSchedule_L[TP])</f>
        <v>2</v>
      </c>
      <c r="M247" s="3">
        <f>SUBTOTAL(103,CSchedule_L[WE])</f>
        <v>0</v>
      </c>
      <c r="N247" s="3">
        <f>SUBTOTAL(103,CSchedule_L[W1])</f>
        <v>3</v>
      </c>
      <c r="O247" s="3">
        <f>SUBTOTAL(103,CSchedule_L[W2])</f>
        <v>3</v>
      </c>
      <c r="P247" s="3">
        <f>SUBTOTAL(103,CSchedule_L[WP])</f>
        <v>2</v>
      </c>
      <c r="Q247" s="3">
        <f>SUBTOTAL(103,CSchedule_L[ThE])</f>
        <v>0</v>
      </c>
      <c r="R247" s="3">
        <f>SUBTOTAL(103,CSchedule_L[Th1])</f>
        <v>1</v>
      </c>
      <c r="S247" s="3">
        <f>SUBTOTAL(103,CSchedule_L[Th2])</f>
        <v>1</v>
      </c>
      <c r="T247" s="3">
        <f>SUBTOTAL(103,CSchedule_L[ThP])</f>
        <v>0</v>
      </c>
      <c r="U247" s="3">
        <f>SUBTOTAL(103,CSchedule_L[FE])</f>
        <v>0</v>
      </c>
      <c r="V247" s="3">
        <f>SUBTOTAL(103,CSchedule_L[F1])</f>
        <v>0</v>
      </c>
      <c r="W247" s="3">
        <f>SUBTOTAL(103,CSchedule_L[F2])</f>
        <v>0</v>
      </c>
    </row>
  </sheetData>
  <mergeCells count="8">
    <mergeCell ref="B2:B3"/>
    <mergeCell ref="X2:X3"/>
    <mergeCell ref="Z2:Z4"/>
    <mergeCell ref="E2:H2"/>
    <mergeCell ref="I2:L2"/>
    <mergeCell ref="M2:P2"/>
    <mergeCell ref="Q2:T2"/>
    <mergeCell ref="U2:W2"/>
  </mergeCells>
  <pageMargins left="0.7" right="0.7" top="0.75" bottom="0.75" header="0.3" footer="0.3"/>
  <pageSetup scale="39" orientation="portrait" r:id="rId1"/>
  <tableParts count="3">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AD83"/>
  <sheetViews>
    <sheetView zoomScale="70" zoomScaleNormal="70" workbookViewId="0">
      <selection activeCell="C75" sqref="C75"/>
    </sheetView>
  </sheetViews>
  <sheetFormatPr defaultRowHeight="15" customHeight="1" x14ac:dyDescent="0.35"/>
  <cols>
    <col min="1" max="1" width="1.140625" style="1" customWidth="1"/>
    <col min="2" max="2" width="20.140625" style="1" bestFit="1" customWidth="1"/>
    <col min="3" max="3" width="12" style="1" bestFit="1" customWidth="1"/>
    <col min="4" max="4" width="17.140625" style="1" bestFit="1" customWidth="1"/>
    <col min="5" max="25" width="9.140625" style="1"/>
    <col min="26" max="26" width="31.42578125" style="18" customWidth="1"/>
    <col min="27" max="27" width="1.28515625" customWidth="1"/>
    <col min="28" max="16384" width="9.140625" style="1"/>
  </cols>
  <sheetData>
    <row r="1" spans="2:30" ht="6.75" customHeight="1" thickBot="1" x14ac:dyDescent="0.4"/>
    <row r="2" spans="2:30" ht="24.75" customHeight="1" thickBot="1" x14ac:dyDescent="0.4">
      <c r="B2" s="115" t="s">
        <v>152</v>
      </c>
      <c r="C2" s="116"/>
      <c r="D2" s="117"/>
      <c r="E2" s="104" t="s">
        <v>109</v>
      </c>
      <c r="F2" s="104"/>
      <c r="G2" s="104"/>
      <c r="H2" s="105"/>
      <c r="I2" s="103" t="s">
        <v>110</v>
      </c>
      <c r="J2" s="104"/>
      <c r="K2" s="104"/>
      <c r="L2" s="105"/>
      <c r="M2" s="103" t="s">
        <v>111</v>
      </c>
      <c r="N2" s="104"/>
      <c r="O2" s="104"/>
      <c r="P2" s="105"/>
      <c r="Q2" s="103" t="s">
        <v>112</v>
      </c>
      <c r="R2" s="104"/>
      <c r="S2" s="104"/>
      <c r="T2" s="105"/>
      <c r="U2" s="103" t="s">
        <v>113</v>
      </c>
      <c r="V2" s="104"/>
      <c r="W2" s="104"/>
      <c r="X2" s="12" t="s">
        <v>124</v>
      </c>
      <c r="Y2" s="13" t="s">
        <v>123</v>
      </c>
      <c r="Z2" s="100" t="s">
        <v>126</v>
      </c>
      <c r="AB2" s="87"/>
      <c r="AC2" s="88"/>
      <c r="AD2" s="89"/>
    </row>
    <row r="3" spans="2:30" ht="15" customHeight="1" thickBot="1" x14ac:dyDescent="0.4">
      <c r="B3" s="118"/>
      <c r="C3" s="119"/>
      <c r="D3" s="120"/>
      <c r="E3" s="23" t="s">
        <v>8</v>
      </c>
      <c r="F3" s="9" t="s">
        <v>9</v>
      </c>
      <c r="G3" s="9" t="s">
        <v>10</v>
      </c>
      <c r="H3" s="9" t="s">
        <v>11</v>
      </c>
      <c r="I3" s="9" t="s">
        <v>12</v>
      </c>
      <c r="J3" s="9" t="s">
        <v>13</v>
      </c>
      <c r="K3" s="9" t="s">
        <v>14</v>
      </c>
      <c r="L3" s="9" t="s">
        <v>15</v>
      </c>
      <c r="M3" s="9" t="s">
        <v>12</v>
      </c>
      <c r="N3" s="9" t="s">
        <v>13</v>
      </c>
      <c r="O3" s="9" t="s">
        <v>14</v>
      </c>
      <c r="P3" s="9" t="s">
        <v>15</v>
      </c>
      <c r="Q3" s="9" t="s">
        <v>12</v>
      </c>
      <c r="R3" s="9" t="s">
        <v>13</v>
      </c>
      <c r="S3" s="9" t="s">
        <v>14</v>
      </c>
      <c r="T3" s="9" t="s">
        <v>15</v>
      </c>
      <c r="U3" s="9" t="s">
        <v>12</v>
      </c>
      <c r="V3" s="9" t="s">
        <v>13</v>
      </c>
      <c r="W3" s="24" t="s">
        <v>14</v>
      </c>
      <c r="X3" s="121" t="str">
        <f>Controls!$H$4 &amp; ", " &amp; Controls!$H$6 &amp; ", " &amp; Controls!$H$7</f>
        <v>10, 12, 14</v>
      </c>
      <c r="Y3" s="123">
        <f>Controls!H9</f>
        <v>20</v>
      </c>
      <c r="Z3" s="101"/>
      <c r="AB3" s="90"/>
      <c r="AC3" s="91"/>
      <c r="AD3" s="92"/>
    </row>
    <row r="4" spans="2:30" ht="15" customHeight="1" thickBot="1" x14ac:dyDescent="0.4">
      <c r="B4" s="125" t="str">
        <f>Controls!G24</f>
        <v>Feb 2, 2019 - Feb 8, 2019</v>
      </c>
      <c r="C4" s="126"/>
      <c r="D4" s="127"/>
      <c r="E4" s="26">
        <f>IF(Controls!$C6 = TRUE, IF(Controls!$D6 = TRUE, "MTM", SUBTOTAL(103,MSchedule[SE])), "CLOSED")</f>
        <v>0</v>
      </c>
      <c r="F4" s="26">
        <f>IF(Controls!$C7 = TRUE,  IF(Controls!$D7 = TRUE, "MTM", SUBTOTAL(103,MSchedule[S1])), "CLOSED")</f>
        <v>0</v>
      </c>
      <c r="G4" s="26">
        <f>IF(Controls!$C8 = TRUE, IF(Controls!$D8 = TRUE, "MTM", SUBTOTAL(103,MSchedule[S2])), "CLOSED")</f>
        <v>0</v>
      </c>
      <c r="H4" s="26">
        <f>IF(Controls!$C9 = TRUE, IF(Controls!$D9 = TRUE, "MTM", SUBTOTAL(103,MSchedule[SP])), "CLOSED")</f>
        <v>0</v>
      </c>
      <c r="I4" s="26">
        <f>IF(Controls!$C12 = TRUE,  IF(Controls!$D12 = TRUE, "MTM", SUBTOTAL(103,MSchedule[TE])), "CLOSED")</f>
        <v>1</v>
      </c>
      <c r="J4" s="26">
        <f>IF(Controls!$C13 = TRUE,  IF(Controls!$D13 = TRUE, "MTM", SUBTOTAL(103,MSchedule[T1])), "CLOSED")</f>
        <v>8</v>
      </c>
      <c r="K4" s="26">
        <f>IF(Controls!$C14 = TRUE,  IF(Controls!$D14 = TRUE, "MTM", SUBTOTAL(103,MSchedule[T2])), "CLOSED")</f>
        <v>8</v>
      </c>
      <c r="L4" s="26">
        <f>IF(Controls!$C15 = TRUE, IF(Controls!$D15 = TRUE, "MTM", SUBTOTAL(103,MSchedule[TP])), "CLOSED")</f>
        <v>10</v>
      </c>
      <c r="M4" s="26" t="str">
        <f>IF(Controls!$C18 = TRUE,  IF(Controls!$D18 = TRUE, "MTM", SUBTOTAL(103,MSchedule[SE])), "CLOSED")</f>
        <v>CLOSED</v>
      </c>
      <c r="N4" s="26">
        <f>IF(Controls!$C19 = TRUE,  IF(Controls!$D19 = TRUE, "MTM", SUBTOTAL(103,MSchedule[W2])), "CLOSED")</f>
        <v>11</v>
      </c>
      <c r="O4" s="26">
        <f>IF(Controls!$C20 = TRUE, IF(Controls!$D20 = TRUE, "MTM", SUBTOTAL(103,MSchedule[W2])), "CLOSED")</f>
        <v>11</v>
      </c>
      <c r="P4" s="26">
        <f>IF(Controls!$C21 = TRUE, IF(Controls!$D21 = TRUE, "MTM", SUBTOTAL(103,MSchedule[WP])), "CLOSED")</f>
        <v>5</v>
      </c>
      <c r="Q4" s="26" t="str">
        <f>IF(Controls!$C24 = TRUE,IF(Controls!$D24 = TRUE, "MTM",  SUBTOTAL(103,MSchedule[ThE])), "CLOSED")</f>
        <v>CLOSED</v>
      </c>
      <c r="R4" s="26">
        <f>IF(Controls!$C25 = TRUE, IF(Controls!$D25 = TRUE, "MTM", SUBTOTAL(103,MSchedule[Th1])), "CLOSED")</f>
        <v>3</v>
      </c>
      <c r="S4" s="26">
        <f>IF(Controls!$C26 = TRUE, IF(Controls!$D26 = TRUE, "MTM", SUBTOTAL(103,MSchedule[Th2])), "CLOSED")</f>
        <v>3</v>
      </c>
      <c r="T4" s="26">
        <f>IF(Controls!$C27 = TRUE, IF(Controls!$D27 = TRUE, "MTM", SUBTOTAL(103,MSchedule[ThP])), "CLOSED")</f>
        <v>0</v>
      </c>
      <c r="U4" s="26">
        <f>IF(Controls!$C30 = TRUE,IF(Controls!$D30 = TRUE, "MTM",  SUBTOTAL(103,MSchedule[FE])), "CLOSED")</f>
        <v>2</v>
      </c>
      <c r="V4" s="26">
        <f>IF(Controls!$C31 = TRUE, IF(Controls!$D31 = TRUE, "MTM", SUBTOTAL(103,MSchedule[F1])), "CLOSED")</f>
        <v>4</v>
      </c>
      <c r="W4" s="26">
        <f>IF(Controls!$C32 = TRUE,IF(Controls!$D32 = TRUE, "MTM",  SUBTOTAL(103,MSchedule[F2])), "CLOSED")</f>
        <v>2</v>
      </c>
      <c r="X4" s="122"/>
      <c r="Y4" s="124"/>
      <c r="Z4" s="101"/>
      <c r="AB4" s="93"/>
      <c r="AC4" s="94"/>
      <c r="AD4" s="95"/>
    </row>
    <row r="5" spans="2:30" ht="15" customHeight="1" thickBot="1" x14ac:dyDescent="0.4">
      <c r="B5" s="15" t="s">
        <v>95</v>
      </c>
      <c r="C5" s="16" t="s">
        <v>96</v>
      </c>
      <c r="D5" s="17" t="s">
        <v>97</v>
      </c>
      <c r="E5" s="11" t="s">
        <v>98</v>
      </c>
      <c r="F5" s="4" t="s">
        <v>0</v>
      </c>
      <c r="G5" s="11" t="s">
        <v>1</v>
      </c>
      <c r="H5" s="11" t="s">
        <v>99</v>
      </c>
      <c r="I5" s="11" t="s">
        <v>100</v>
      </c>
      <c r="J5" s="11" t="s">
        <v>2</v>
      </c>
      <c r="K5" s="11" t="s">
        <v>3</v>
      </c>
      <c r="L5" s="11" t="s">
        <v>102</v>
      </c>
      <c r="M5" s="11" t="s">
        <v>101</v>
      </c>
      <c r="N5" s="11" t="s">
        <v>4</v>
      </c>
      <c r="O5" s="11" t="s">
        <v>5</v>
      </c>
      <c r="P5" s="11" t="s">
        <v>103</v>
      </c>
      <c r="Q5" s="11" t="s">
        <v>104</v>
      </c>
      <c r="R5" s="11" t="s">
        <v>105</v>
      </c>
      <c r="S5" s="11" t="s">
        <v>106</v>
      </c>
      <c r="T5" s="11" t="s">
        <v>107</v>
      </c>
      <c r="U5" s="11" t="s">
        <v>108</v>
      </c>
      <c r="V5" s="11" t="s">
        <v>6</v>
      </c>
      <c r="W5" s="11" t="s">
        <v>7</v>
      </c>
      <c r="X5" s="25" t="s">
        <v>127</v>
      </c>
      <c r="Y5" s="29" t="s">
        <v>128</v>
      </c>
      <c r="Z5" s="30" t="s">
        <v>125</v>
      </c>
      <c r="AB5" s="87"/>
      <c r="AC5" s="109" t="s">
        <v>144</v>
      </c>
      <c r="AD5" s="110"/>
    </row>
    <row r="6" spans="2:30" ht="15" customHeight="1" x14ac:dyDescent="0.35">
      <c r="B6" s="160" t="s">
        <v>16</v>
      </c>
      <c r="C6" s="160" t="s">
        <v>146</v>
      </c>
      <c r="D6" s="160" t="s">
        <v>167</v>
      </c>
      <c r="E6" s="160"/>
      <c r="F6" s="160"/>
      <c r="G6" s="160"/>
      <c r="H6" s="160"/>
      <c r="I6" s="160"/>
      <c r="J6" s="160" t="s">
        <v>17</v>
      </c>
      <c r="K6" s="160" t="s">
        <v>17</v>
      </c>
      <c r="L6" s="160"/>
      <c r="M6" s="160"/>
      <c r="N6" s="160" t="s">
        <v>17</v>
      </c>
      <c r="O6" s="160" t="s">
        <v>17</v>
      </c>
      <c r="P6" s="160"/>
      <c r="Q6" s="160"/>
      <c r="R6" s="160" t="s">
        <v>17</v>
      </c>
      <c r="S6" s="160" t="s">
        <v>17</v>
      </c>
      <c r="T6" s="160"/>
      <c r="U6" s="160"/>
      <c r="V6" s="160"/>
      <c r="W6" s="160"/>
      <c r="X6" s="19">
        <f t="shared" ref="X6:X37" si="0">COUNTA(E6:G6,I6:K6,M6:O6,Q6:S6,U6:V6,W6)*2 + COUNTA(H6,L6,P6,T6)</f>
        <v>12</v>
      </c>
      <c r="Y6" s="20" t="str">
        <f>IF(MSchedule[[#This Row],[Position]] = "Caller", Controls!$H$4, IF(MSchedule[[#This Row],[Position]] = "Trainee", Controls!$H$5, IF(MSchedule[[#This Row],[Position]] = "Lead Trainer", Controls!$H$6, IF(MSchedule[[#This Row],[Position]] = "District Lead", Controls!$H$7, IF(MSchedule[[#This Row],[Position]] = "Zone Leader", Controls!$H$8, "0")))))</f>
        <v>0</v>
      </c>
      <c r="AB6" s="90"/>
      <c r="AC6" s="111"/>
      <c r="AD6" s="112"/>
    </row>
    <row r="7" spans="2:30" ht="15" customHeight="1" thickBot="1" x14ac:dyDescent="0.4">
      <c r="B7" s="160" t="s">
        <v>19</v>
      </c>
      <c r="C7" s="160" t="s">
        <v>116</v>
      </c>
      <c r="D7" s="160" t="s">
        <v>16</v>
      </c>
      <c r="E7" s="160"/>
      <c r="F7" s="160"/>
      <c r="G7" s="160"/>
      <c r="H7" s="160"/>
      <c r="I7" s="160"/>
      <c r="J7" s="160"/>
      <c r="K7" s="160"/>
      <c r="L7" s="160"/>
      <c r="M7" s="160"/>
      <c r="N7" s="160" t="s">
        <v>17</v>
      </c>
      <c r="O7" s="160" t="s">
        <v>17</v>
      </c>
      <c r="P7" s="160" t="s">
        <v>17</v>
      </c>
      <c r="Q7" s="160"/>
      <c r="R7" s="160"/>
      <c r="S7" s="160"/>
      <c r="T7" s="160"/>
      <c r="U7" s="160"/>
      <c r="V7" s="160" t="s">
        <v>17</v>
      </c>
      <c r="W7" s="160" t="s">
        <v>17</v>
      </c>
      <c r="X7" s="21">
        <f t="shared" si="0"/>
        <v>9</v>
      </c>
      <c r="Y7" s="22">
        <f>IF(MSchedule[[#This Row],[Position]] = "Caller", Controls!$H$4, IF(MSchedule[[#This Row],[Position]] = "Trainee", Controls!$H$5, IF(MSchedule[[#This Row],[Position]] = "Lead Trainer", Controls!$H$6, IF(MSchedule[[#This Row],[Position]] = "District Lead", Controls!$H$7, IF(MSchedule[[#This Row],[Position]] = "Zone Leader", Controls!$H$8, "0")))))</f>
        <v>10</v>
      </c>
      <c r="AB7" s="93"/>
      <c r="AC7" s="113"/>
      <c r="AD7" s="114"/>
    </row>
    <row r="8" spans="2:30" ht="15" customHeight="1" x14ac:dyDescent="0.35">
      <c r="B8" s="160" t="s">
        <v>18</v>
      </c>
      <c r="C8" s="160" t="s">
        <v>116</v>
      </c>
      <c r="D8" s="160" t="s">
        <v>92</v>
      </c>
      <c r="E8" s="160"/>
      <c r="F8" s="160"/>
      <c r="G8" s="160"/>
      <c r="H8" s="160"/>
      <c r="I8" s="160"/>
      <c r="J8" s="160" t="s">
        <v>17</v>
      </c>
      <c r="K8" s="160" t="s">
        <v>17</v>
      </c>
      <c r="L8" s="160" t="s">
        <v>17</v>
      </c>
      <c r="M8" s="160"/>
      <c r="N8" s="160"/>
      <c r="O8" s="160"/>
      <c r="P8" s="160"/>
      <c r="Q8" s="160"/>
      <c r="R8" s="160"/>
      <c r="S8" s="160"/>
      <c r="T8" s="160"/>
      <c r="U8" s="160"/>
      <c r="V8" s="160"/>
      <c r="W8" s="160"/>
      <c r="X8" s="21">
        <f t="shared" si="0"/>
        <v>5</v>
      </c>
      <c r="Y8" s="22">
        <f>IF(MSchedule[[#This Row],[Position]] = "Caller", Controls!$H$4, IF(MSchedule[[#This Row],[Position]] = "Trainee", Controls!$H$5, IF(MSchedule[[#This Row],[Position]] = "Lead Trainer", Controls!$H$6, IF(MSchedule[[#This Row],[Position]] = "District Lead", Controls!$H$7, IF(MSchedule[[#This Row],[Position]] = "Zone Leader", Controls!$H$8, "0")))))</f>
        <v>10</v>
      </c>
      <c r="AB8" s="87"/>
      <c r="AC8" s="109" t="s">
        <v>149</v>
      </c>
      <c r="AD8" s="110"/>
    </row>
    <row r="9" spans="2:30" ht="15" customHeight="1" x14ac:dyDescent="0.35">
      <c r="B9" s="160" t="s">
        <v>81</v>
      </c>
      <c r="C9" s="160" t="s">
        <v>146</v>
      </c>
      <c r="D9" s="160" t="s">
        <v>93</v>
      </c>
      <c r="E9" s="160"/>
      <c r="F9" s="160"/>
      <c r="G9" s="160"/>
      <c r="H9" s="160"/>
      <c r="I9" s="160"/>
      <c r="J9" s="160" t="s">
        <v>17</v>
      </c>
      <c r="K9" s="160" t="s">
        <v>17</v>
      </c>
      <c r="L9" s="160" t="s">
        <v>17</v>
      </c>
      <c r="M9" s="160"/>
      <c r="N9" s="160" t="s">
        <v>17</v>
      </c>
      <c r="O9" s="160" t="s">
        <v>17</v>
      </c>
      <c r="P9" s="160" t="s">
        <v>17</v>
      </c>
      <c r="Q9" s="160"/>
      <c r="R9" s="160"/>
      <c r="S9" s="160"/>
      <c r="T9" s="160"/>
      <c r="U9" s="160"/>
      <c r="V9" s="160"/>
      <c r="W9" s="160"/>
      <c r="X9" s="21">
        <f t="shared" si="0"/>
        <v>10</v>
      </c>
      <c r="Y9" s="22" t="str">
        <f>IF(MSchedule[[#This Row],[Position]] = "Caller", Controls!$H$4, IF(MSchedule[[#This Row],[Position]] = "Trainee", Controls!$H$5, IF(MSchedule[[#This Row],[Position]] = "Lead Trainer", Controls!$H$6, IF(MSchedule[[#This Row],[Position]] = "District Lead", Controls!$H$7, IF(MSchedule[[#This Row],[Position]] = "Zone Leader", Controls!$H$8, "0")))))</f>
        <v>0</v>
      </c>
      <c r="AB9" s="90"/>
      <c r="AC9" s="111"/>
      <c r="AD9" s="112"/>
    </row>
    <row r="10" spans="2:30" ht="15" customHeight="1" thickBot="1" x14ac:dyDescent="0.4">
      <c r="B10" s="160" t="s">
        <v>20</v>
      </c>
      <c r="C10" s="160" t="s">
        <v>116</v>
      </c>
      <c r="D10" s="160" t="s">
        <v>83</v>
      </c>
      <c r="E10" s="160"/>
      <c r="F10" s="160"/>
      <c r="G10" s="160"/>
      <c r="H10" s="160"/>
      <c r="I10" s="160" t="s">
        <v>17</v>
      </c>
      <c r="J10" s="160" t="s">
        <v>17</v>
      </c>
      <c r="K10" s="160" t="s">
        <v>17</v>
      </c>
      <c r="L10" s="160"/>
      <c r="M10" s="160"/>
      <c r="N10" s="160" t="s">
        <v>17</v>
      </c>
      <c r="O10" s="160" t="s">
        <v>17</v>
      </c>
      <c r="P10" s="160"/>
      <c r="Q10" s="160"/>
      <c r="R10" s="160"/>
      <c r="S10" s="160"/>
      <c r="T10" s="160"/>
      <c r="U10" s="160"/>
      <c r="V10" s="160"/>
      <c r="W10" s="160"/>
      <c r="X10" s="21">
        <f t="shared" si="0"/>
        <v>10</v>
      </c>
      <c r="Y10" s="22">
        <f>IF(MSchedule[[#This Row],[Position]] = "Caller", Controls!$H$4, IF(MSchedule[[#This Row],[Position]] = "Trainee", Controls!$H$5, IF(MSchedule[[#This Row],[Position]] = "Lead Trainer", Controls!$H$6, IF(MSchedule[[#This Row],[Position]] = "District Lead", Controls!$H$7, IF(MSchedule[[#This Row],[Position]] = "Zone Leader", Controls!$H$8, "0")))))</f>
        <v>10</v>
      </c>
      <c r="AB10" s="93"/>
      <c r="AC10" s="113"/>
      <c r="AD10" s="114"/>
    </row>
    <row r="11" spans="2:30" ht="15" customHeight="1" thickBot="1" x14ac:dyDescent="0.4">
      <c r="B11" s="160" t="s">
        <v>21</v>
      </c>
      <c r="C11" s="160" t="s">
        <v>116</v>
      </c>
      <c r="D11" s="160" t="s">
        <v>82</v>
      </c>
      <c r="E11" s="160"/>
      <c r="F11" s="160"/>
      <c r="G11" s="160"/>
      <c r="H11" s="160"/>
      <c r="I11" s="160"/>
      <c r="J11" s="160"/>
      <c r="K11" s="160" t="s">
        <v>17</v>
      </c>
      <c r="L11" s="160" t="s">
        <v>17</v>
      </c>
      <c r="M11" s="160"/>
      <c r="N11" s="160" t="s">
        <v>17</v>
      </c>
      <c r="O11" s="160" t="s">
        <v>17</v>
      </c>
      <c r="P11" s="160" t="s">
        <v>17</v>
      </c>
      <c r="Q11" s="160"/>
      <c r="R11" s="160"/>
      <c r="S11" s="160"/>
      <c r="T11" s="160"/>
      <c r="U11" s="160"/>
      <c r="V11" s="160"/>
      <c r="W11" s="160"/>
      <c r="X11" s="21">
        <f t="shared" si="0"/>
        <v>8</v>
      </c>
      <c r="Y11" s="22">
        <f>IF(MSchedule[[#This Row],[Position]] = "Caller", Controls!$H$4, IF(MSchedule[[#This Row],[Position]] = "Trainee", Controls!$H$5, IF(MSchedule[[#This Row],[Position]] = "Lead Trainer", Controls!$H$6, IF(MSchedule[[#This Row],[Position]] = "District Lead", Controls!$H$7, IF(MSchedule[[#This Row],[Position]] = "Zone Leader", Controls!$H$8, "0")))))</f>
        <v>10</v>
      </c>
      <c r="AB11" s="106" t="s">
        <v>161</v>
      </c>
      <c r="AC11" s="107"/>
      <c r="AD11" s="108"/>
    </row>
    <row r="12" spans="2:30" ht="15" customHeight="1" x14ac:dyDescent="0.35">
      <c r="B12" s="160" t="s">
        <v>22</v>
      </c>
      <c r="C12" s="160" t="s">
        <v>116</v>
      </c>
      <c r="D12" s="160" t="s">
        <v>121</v>
      </c>
      <c r="E12" s="160"/>
      <c r="F12" s="160"/>
      <c r="G12" s="160"/>
      <c r="H12" s="160"/>
      <c r="I12" s="160"/>
      <c r="J12" s="160" t="s">
        <v>17</v>
      </c>
      <c r="K12" s="160" t="s">
        <v>17</v>
      </c>
      <c r="L12" s="160" t="s">
        <v>17</v>
      </c>
      <c r="M12" s="160"/>
      <c r="N12" s="160" t="s">
        <v>17</v>
      </c>
      <c r="O12" s="160" t="s">
        <v>17</v>
      </c>
      <c r="P12" s="160"/>
      <c r="Q12" s="160"/>
      <c r="R12" s="160"/>
      <c r="S12" s="160"/>
      <c r="T12" s="160"/>
      <c r="U12" s="160"/>
      <c r="V12" s="160"/>
      <c r="W12" s="160"/>
      <c r="X12" s="21">
        <f t="shared" si="0"/>
        <v>9</v>
      </c>
      <c r="Y12" s="22">
        <f>IF(MSchedule[[#This Row],[Position]] = "Caller", Controls!$H$4, IF(MSchedule[[#This Row],[Position]] = "Trainee", Controls!$H$5, IF(MSchedule[[#This Row],[Position]] = "Lead Trainer", Controls!$H$6, IF(MSchedule[[#This Row],[Position]] = "District Lead", Controls!$H$7, IF(MSchedule[[#This Row],[Position]] = "Zone Leader", Controls!$H$8, "0")))))</f>
        <v>10</v>
      </c>
      <c r="AB12" s="87" t="s">
        <v>164</v>
      </c>
      <c r="AC12" s="88" t="str">
        <f>Controls!H26</f>
        <v>Amber Davis</v>
      </c>
      <c r="AD12" s="89"/>
    </row>
    <row r="13" spans="2:30" ht="15" customHeight="1" x14ac:dyDescent="0.35">
      <c r="B13" s="160" t="s">
        <v>82</v>
      </c>
      <c r="C13" s="160" t="s">
        <v>146</v>
      </c>
      <c r="D13" s="160" t="s">
        <v>87</v>
      </c>
      <c r="E13" s="160"/>
      <c r="F13" s="160"/>
      <c r="G13" s="160"/>
      <c r="H13" s="160"/>
      <c r="I13" s="160"/>
      <c r="J13" s="160"/>
      <c r="K13" s="160"/>
      <c r="L13" s="160"/>
      <c r="M13" s="160"/>
      <c r="N13" s="160"/>
      <c r="O13" s="160"/>
      <c r="P13" s="160"/>
      <c r="Q13" s="160"/>
      <c r="R13" s="160"/>
      <c r="S13" s="160"/>
      <c r="T13" s="160"/>
      <c r="U13" s="160"/>
      <c r="V13" s="160"/>
      <c r="W13" s="160"/>
      <c r="X13" s="21">
        <f t="shared" si="0"/>
        <v>0</v>
      </c>
      <c r="Y13" s="22" t="str">
        <f>IF(MSchedule[[#This Row],[Position]] = "Caller", Controls!$H$4, IF(MSchedule[[#This Row],[Position]] = "Trainee", Controls!$H$5, IF(MSchedule[[#This Row],[Position]] = "Lead Trainer", Controls!$H$6, IF(MSchedule[[#This Row],[Position]] = "District Lead", Controls!$H$7, IF(MSchedule[[#This Row],[Position]] = "Zone Leader", Controls!$H$8, "0")))))</f>
        <v>0</v>
      </c>
      <c r="AB13" s="90" t="s">
        <v>163</v>
      </c>
      <c r="AC13" s="91" t="str">
        <f>Controls!H27</f>
        <v>Jayne Preciado</v>
      </c>
      <c r="AD13" s="92"/>
    </row>
    <row r="14" spans="2:30" ht="15" customHeight="1" x14ac:dyDescent="0.35">
      <c r="B14" s="160" t="s">
        <v>57</v>
      </c>
      <c r="C14" s="160" t="s">
        <v>116</v>
      </c>
      <c r="D14" s="160" t="s">
        <v>121</v>
      </c>
      <c r="E14" s="160"/>
      <c r="F14" s="160"/>
      <c r="G14" s="160"/>
      <c r="H14" s="160"/>
      <c r="I14" s="160"/>
      <c r="J14" s="160"/>
      <c r="K14" s="160"/>
      <c r="L14" s="160"/>
      <c r="M14" s="160"/>
      <c r="N14" s="160"/>
      <c r="O14" s="160"/>
      <c r="P14" s="160"/>
      <c r="Q14" s="160"/>
      <c r="R14" s="160"/>
      <c r="S14" s="160"/>
      <c r="T14" s="160"/>
      <c r="U14" s="160"/>
      <c r="V14" s="160"/>
      <c r="W14" s="160"/>
      <c r="X14" s="21">
        <f t="shared" si="0"/>
        <v>0</v>
      </c>
      <c r="Y14" s="22">
        <f>IF(MSchedule[[#This Row],[Position]] = "Caller", Controls!$H$4, IF(MSchedule[[#This Row],[Position]] = "Trainee", Controls!$H$5, IF(MSchedule[[#This Row],[Position]] = "Lead Trainer", Controls!$H$6, IF(MSchedule[[#This Row],[Position]] = "District Lead", Controls!$H$7, IF(MSchedule[[#This Row],[Position]] = "Zone Leader", Controls!$H$8, "0")))))</f>
        <v>10</v>
      </c>
      <c r="AB14" s="90" t="s">
        <v>162</v>
      </c>
      <c r="AC14" s="91" t="str">
        <f>Controls!H28</f>
        <v>Michael Keightley</v>
      </c>
      <c r="AD14" s="92"/>
    </row>
    <row r="15" spans="2:30" ht="15" customHeight="1" x14ac:dyDescent="0.35">
      <c r="B15" s="160" t="s">
        <v>23</v>
      </c>
      <c r="C15" s="160" t="s">
        <v>116</v>
      </c>
      <c r="D15" s="160" t="s">
        <v>121</v>
      </c>
      <c r="E15" s="160"/>
      <c r="F15" s="160"/>
      <c r="G15" s="160"/>
      <c r="H15" s="160"/>
      <c r="I15" s="160"/>
      <c r="J15" s="160"/>
      <c r="K15" s="160"/>
      <c r="L15" s="160"/>
      <c r="M15" s="160"/>
      <c r="N15" s="160"/>
      <c r="O15" s="160"/>
      <c r="P15" s="160"/>
      <c r="Q15" s="160"/>
      <c r="R15" s="160"/>
      <c r="S15" s="160"/>
      <c r="T15" s="160"/>
      <c r="U15" s="160"/>
      <c r="V15" s="160"/>
      <c r="W15" s="160"/>
      <c r="X15" s="21">
        <f t="shared" si="0"/>
        <v>0</v>
      </c>
      <c r="Y15" s="22">
        <f>IF(MSchedule[[#This Row],[Position]] = "Caller", Controls!$H$4, IF(MSchedule[[#This Row],[Position]] = "Trainee", Controls!$H$5, IF(MSchedule[[#This Row],[Position]] = "Lead Trainer", Controls!$H$6, IF(MSchedule[[#This Row],[Position]] = "District Lead", Controls!$H$7, IF(MSchedule[[#This Row],[Position]] = "Zone Leader", Controls!$H$8, "0")))))</f>
        <v>10</v>
      </c>
      <c r="AB15" s="90" t="s">
        <v>165</v>
      </c>
      <c r="AC15" s="91" t="str">
        <f>Controls!H29</f>
        <v>Chris Nelson</v>
      </c>
      <c r="AD15" s="92"/>
    </row>
    <row r="16" spans="2:30" ht="15" customHeight="1" thickBot="1" x14ac:dyDescent="0.4">
      <c r="B16" s="160" t="s">
        <v>58</v>
      </c>
      <c r="C16" s="160" t="s">
        <v>116</v>
      </c>
      <c r="D16" s="160" t="s">
        <v>84</v>
      </c>
      <c r="E16" s="160"/>
      <c r="F16" s="160"/>
      <c r="G16" s="160"/>
      <c r="H16" s="160"/>
      <c r="I16" s="160"/>
      <c r="J16" s="160"/>
      <c r="K16" s="160"/>
      <c r="L16" s="160"/>
      <c r="M16" s="160"/>
      <c r="N16" s="160"/>
      <c r="O16" s="160"/>
      <c r="P16" s="160"/>
      <c r="Q16" s="160"/>
      <c r="R16" s="160"/>
      <c r="S16" s="160"/>
      <c r="T16" s="160"/>
      <c r="U16" s="160"/>
      <c r="V16" s="160"/>
      <c r="W16" s="160"/>
      <c r="X16" s="21">
        <f t="shared" si="0"/>
        <v>0</v>
      </c>
      <c r="Y16" s="22">
        <f>IF(MSchedule[[#This Row],[Position]] = "Caller", Controls!$H$4, IF(MSchedule[[#This Row],[Position]] = "Trainee", Controls!$H$5, IF(MSchedule[[#This Row],[Position]] = "Lead Trainer", Controls!$H$6, IF(MSchedule[[#This Row],[Position]] = "District Lead", Controls!$H$7, IF(MSchedule[[#This Row],[Position]] = "Zone Leader", Controls!$H$8, "0")))))</f>
        <v>10</v>
      </c>
      <c r="AB16" s="93" t="s">
        <v>166</v>
      </c>
      <c r="AC16" s="94" t="str">
        <f>Controls!H30</f>
        <v>Rebecca Davis</v>
      </c>
      <c r="AD16" s="95"/>
    </row>
    <row r="17" spans="2:25" ht="15" customHeight="1" x14ac:dyDescent="0.35">
      <c r="B17" s="160" t="s">
        <v>83</v>
      </c>
      <c r="C17" s="160" t="s">
        <v>146</v>
      </c>
      <c r="D17" s="160" t="s">
        <v>85</v>
      </c>
      <c r="E17" s="160"/>
      <c r="F17" s="160"/>
      <c r="G17" s="160"/>
      <c r="H17" s="160"/>
      <c r="I17" s="160"/>
      <c r="J17" s="160"/>
      <c r="K17" s="160"/>
      <c r="L17" s="160"/>
      <c r="M17" s="160"/>
      <c r="N17" s="160"/>
      <c r="O17" s="160"/>
      <c r="P17" s="160"/>
      <c r="Q17" s="160"/>
      <c r="R17" s="160"/>
      <c r="S17" s="160"/>
      <c r="T17" s="160"/>
      <c r="U17" s="160"/>
      <c r="V17" s="160"/>
      <c r="W17" s="160"/>
      <c r="X17" s="21">
        <f t="shared" si="0"/>
        <v>0</v>
      </c>
      <c r="Y17" s="22" t="str">
        <f>IF(MSchedule[[#This Row],[Position]] = "Caller", Controls!$H$4, IF(MSchedule[[#This Row],[Position]] = "Trainee", Controls!$H$5, IF(MSchedule[[#This Row],[Position]] = "Lead Trainer", Controls!$H$6, IF(MSchedule[[#This Row],[Position]] = "District Lead", Controls!$H$7, IF(MSchedule[[#This Row],[Position]] = "Zone Leader", Controls!$H$8, "0")))))</f>
        <v>0</v>
      </c>
    </row>
    <row r="18" spans="2:25" ht="15" customHeight="1" x14ac:dyDescent="0.35">
      <c r="B18" s="160" t="s">
        <v>84</v>
      </c>
      <c r="C18" s="160" t="s">
        <v>146</v>
      </c>
      <c r="D18" s="160" t="s">
        <v>93</v>
      </c>
      <c r="E18" s="160"/>
      <c r="F18" s="160"/>
      <c r="G18" s="160"/>
      <c r="H18" s="160"/>
      <c r="I18" s="160"/>
      <c r="J18" s="160"/>
      <c r="K18" s="160"/>
      <c r="L18" s="160"/>
      <c r="M18" s="160"/>
      <c r="N18" s="160"/>
      <c r="O18" s="160"/>
      <c r="P18" s="160"/>
      <c r="Q18" s="160"/>
      <c r="R18" s="160"/>
      <c r="S18" s="160"/>
      <c r="T18" s="160"/>
      <c r="U18" s="160"/>
      <c r="V18" s="160"/>
      <c r="W18" s="160"/>
      <c r="X18" s="21">
        <f t="shared" si="0"/>
        <v>0</v>
      </c>
      <c r="Y18" s="22" t="str">
        <f>IF(MSchedule[[#This Row],[Position]] = "Caller", Controls!$H$4, IF(MSchedule[[#This Row],[Position]] = "Trainee", Controls!$H$5, IF(MSchedule[[#This Row],[Position]] = "Lead Trainer", Controls!$H$6, IF(MSchedule[[#This Row],[Position]] = "District Lead", Controls!$H$7, IF(MSchedule[[#This Row],[Position]] = "Zone Leader", Controls!$H$8, "0")))))</f>
        <v>0</v>
      </c>
    </row>
    <row r="19" spans="2:25" ht="15" customHeight="1" x14ac:dyDescent="0.35">
      <c r="B19" s="160" t="s">
        <v>85</v>
      </c>
      <c r="C19" s="160" t="s">
        <v>120</v>
      </c>
      <c r="D19" s="160" t="s">
        <v>120</v>
      </c>
      <c r="E19" s="160"/>
      <c r="F19" s="160"/>
      <c r="G19" s="160"/>
      <c r="H19" s="160"/>
      <c r="I19" s="160"/>
      <c r="J19" s="160"/>
      <c r="K19" s="160"/>
      <c r="L19" s="160"/>
      <c r="M19" s="160"/>
      <c r="N19" s="160"/>
      <c r="O19" s="160"/>
      <c r="P19" s="160"/>
      <c r="Q19" s="160"/>
      <c r="R19" s="160"/>
      <c r="S19" s="160"/>
      <c r="T19" s="160"/>
      <c r="U19" s="160"/>
      <c r="V19" s="160"/>
      <c r="W19" s="160"/>
      <c r="X19" s="21">
        <f t="shared" si="0"/>
        <v>0</v>
      </c>
      <c r="Y19" s="22">
        <f>IF(MSchedule[[#This Row],[Position]] = "Caller", Controls!$H$4, IF(MSchedule[[#This Row],[Position]] = "Trainee", Controls!$H$5, IF(MSchedule[[#This Row],[Position]] = "Lead Trainer", Controls!$H$6, IF(MSchedule[[#This Row],[Position]] = "District Lead", Controls!$H$7, IF(MSchedule[[#This Row],[Position]] = "Zone Leader", Controls!$H$8, "0")))))</f>
        <v>14</v>
      </c>
    </row>
    <row r="20" spans="2:25" ht="15" customHeight="1" x14ac:dyDescent="0.35">
      <c r="B20" s="160" t="s">
        <v>59</v>
      </c>
      <c r="C20" s="160" t="s">
        <v>116</v>
      </c>
      <c r="D20" s="160" t="s">
        <v>84</v>
      </c>
      <c r="E20" s="160"/>
      <c r="F20" s="160"/>
      <c r="G20" s="160"/>
      <c r="H20" s="160"/>
      <c r="I20" s="160"/>
      <c r="J20" s="160"/>
      <c r="K20" s="160"/>
      <c r="L20" s="160"/>
      <c r="M20" s="160"/>
      <c r="N20" s="160"/>
      <c r="O20" s="160"/>
      <c r="P20" s="160"/>
      <c r="Q20" s="160"/>
      <c r="R20" s="160"/>
      <c r="S20" s="160"/>
      <c r="T20" s="160"/>
      <c r="U20" s="160"/>
      <c r="V20" s="160"/>
      <c r="W20" s="160"/>
      <c r="X20" s="21">
        <f t="shared" si="0"/>
        <v>0</v>
      </c>
      <c r="Y20" s="22">
        <f>IF(MSchedule[[#This Row],[Position]] = "Caller", Controls!$H$4, IF(MSchedule[[#This Row],[Position]] = "Trainee", Controls!$H$5, IF(MSchedule[[#This Row],[Position]] = "Lead Trainer", Controls!$H$6, IF(MSchedule[[#This Row],[Position]] = "District Lead", Controls!$H$7, IF(MSchedule[[#This Row],[Position]] = "Zone Leader", Controls!$H$8, "0")))))</f>
        <v>10</v>
      </c>
    </row>
    <row r="21" spans="2:25" ht="15" customHeight="1" x14ac:dyDescent="0.35">
      <c r="B21" s="160" t="s">
        <v>129</v>
      </c>
      <c r="C21" s="160" t="s">
        <v>116</v>
      </c>
      <c r="D21" s="160" t="s">
        <v>89</v>
      </c>
      <c r="E21" s="160"/>
      <c r="F21" s="160"/>
      <c r="G21" s="160"/>
      <c r="H21" s="160"/>
      <c r="I21" s="160"/>
      <c r="J21" s="160"/>
      <c r="K21" s="160"/>
      <c r="L21" s="160"/>
      <c r="M21" s="160"/>
      <c r="N21" s="160"/>
      <c r="O21" s="160"/>
      <c r="P21" s="160"/>
      <c r="Q21" s="160"/>
      <c r="R21" s="160"/>
      <c r="S21" s="160"/>
      <c r="T21" s="160"/>
      <c r="U21" s="160"/>
      <c r="V21" s="160"/>
      <c r="W21" s="160"/>
      <c r="X21" s="21">
        <f t="shared" si="0"/>
        <v>0</v>
      </c>
      <c r="Y21" s="22">
        <f>IF(MSchedule[[#This Row],[Position]] = "Caller", Controls!$H$4, IF(MSchedule[[#This Row],[Position]] = "Trainee", Controls!$H$5, IF(MSchedule[[#This Row],[Position]] = "Lead Trainer", Controls!$H$6, IF(MSchedule[[#This Row],[Position]] = "District Lead", Controls!$H$7, IF(MSchedule[[#This Row],[Position]] = "Zone Leader", Controls!$H$8, "0")))))</f>
        <v>10</v>
      </c>
    </row>
    <row r="22" spans="2:25" ht="15" customHeight="1" x14ac:dyDescent="0.35">
      <c r="B22" s="160" t="s">
        <v>24</v>
      </c>
      <c r="C22" s="160" t="s">
        <v>116</v>
      </c>
      <c r="D22" s="160" t="s">
        <v>122</v>
      </c>
      <c r="E22" s="160"/>
      <c r="F22" s="160"/>
      <c r="G22" s="160"/>
      <c r="H22" s="160"/>
      <c r="I22" s="160"/>
      <c r="J22" s="160"/>
      <c r="K22" s="160"/>
      <c r="L22" s="160"/>
      <c r="M22" s="160"/>
      <c r="N22" s="160"/>
      <c r="O22" s="160"/>
      <c r="P22" s="160"/>
      <c r="Q22" s="160"/>
      <c r="R22" s="160"/>
      <c r="S22" s="160"/>
      <c r="T22" s="160"/>
      <c r="U22" s="160"/>
      <c r="V22" s="160"/>
      <c r="W22" s="160"/>
      <c r="X22" s="21">
        <f t="shared" si="0"/>
        <v>0</v>
      </c>
      <c r="Y22" s="22">
        <f>IF(MSchedule[[#This Row],[Position]] = "Caller", Controls!$H$4, IF(MSchedule[[#This Row],[Position]] = "Trainee", Controls!$H$5, IF(MSchedule[[#This Row],[Position]] = "Lead Trainer", Controls!$H$6, IF(MSchedule[[#This Row],[Position]] = "District Lead", Controls!$H$7, IF(MSchedule[[#This Row],[Position]] = "Zone Leader", Controls!$H$8, "0")))))</f>
        <v>10</v>
      </c>
    </row>
    <row r="23" spans="2:25" ht="15" customHeight="1" x14ac:dyDescent="0.35">
      <c r="B23" s="160" t="s">
        <v>60</v>
      </c>
      <c r="C23" s="160" t="s">
        <v>116</v>
      </c>
      <c r="D23" s="160" t="s">
        <v>88</v>
      </c>
      <c r="E23" s="160"/>
      <c r="F23" s="160"/>
      <c r="G23" s="160"/>
      <c r="H23" s="160"/>
      <c r="I23" s="160"/>
      <c r="J23" s="160"/>
      <c r="K23" s="160"/>
      <c r="L23" s="160"/>
      <c r="M23" s="160"/>
      <c r="N23" s="160"/>
      <c r="O23" s="160"/>
      <c r="P23" s="160"/>
      <c r="Q23" s="160"/>
      <c r="R23" s="160"/>
      <c r="S23" s="160"/>
      <c r="T23" s="160"/>
      <c r="U23" s="160"/>
      <c r="V23" s="160"/>
      <c r="W23" s="160"/>
      <c r="X23" s="21">
        <f t="shared" si="0"/>
        <v>0</v>
      </c>
      <c r="Y23" s="22">
        <f>IF(MSchedule[[#This Row],[Position]] = "Caller", Controls!$H$4, IF(MSchedule[[#This Row],[Position]] = "Trainee", Controls!$H$5, IF(MSchedule[[#This Row],[Position]] = "Lead Trainer", Controls!$H$6, IF(MSchedule[[#This Row],[Position]] = "District Lead", Controls!$H$7, IF(MSchedule[[#This Row],[Position]] = "Zone Leader", Controls!$H$8, "0")))))</f>
        <v>10</v>
      </c>
    </row>
    <row r="24" spans="2:25" ht="15" customHeight="1" x14ac:dyDescent="0.35">
      <c r="B24" s="160" t="s">
        <v>25</v>
      </c>
      <c r="C24" s="160" t="s">
        <v>116</v>
      </c>
      <c r="D24" s="160" t="s">
        <v>83</v>
      </c>
      <c r="E24" s="160"/>
      <c r="F24" s="160"/>
      <c r="G24" s="160"/>
      <c r="H24" s="160"/>
      <c r="I24" s="160"/>
      <c r="J24" s="160"/>
      <c r="K24" s="160"/>
      <c r="L24" s="160"/>
      <c r="M24" s="160"/>
      <c r="N24" s="160"/>
      <c r="O24" s="160"/>
      <c r="P24" s="160"/>
      <c r="Q24" s="160"/>
      <c r="R24" s="160"/>
      <c r="S24" s="160"/>
      <c r="T24" s="160"/>
      <c r="U24" s="160"/>
      <c r="V24" s="160"/>
      <c r="W24" s="160"/>
      <c r="X24" s="21">
        <f t="shared" si="0"/>
        <v>0</v>
      </c>
      <c r="Y24" s="22">
        <f>IF(MSchedule[[#This Row],[Position]] = "Caller", Controls!$H$4, IF(MSchedule[[#This Row],[Position]] = "Trainee", Controls!$H$5, IF(MSchedule[[#This Row],[Position]] = "Lead Trainer", Controls!$H$6, IF(MSchedule[[#This Row],[Position]] = "District Lead", Controls!$H$7, IF(MSchedule[[#This Row],[Position]] = "Zone Leader", Controls!$H$8, "0")))))</f>
        <v>10</v>
      </c>
    </row>
    <row r="25" spans="2:25" ht="15" customHeight="1" x14ac:dyDescent="0.35">
      <c r="B25" s="160" t="s">
        <v>61</v>
      </c>
      <c r="C25" s="160" t="s">
        <v>116</v>
      </c>
      <c r="D25" s="160" t="s">
        <v>94</v>
      </c>
      <c r="E25" s="160"/>
      <c r="F25" s="160"/>
      <c r="G25" s="160"/>
      <c r="H25" s="160"/>
      <c r="I25" s="160"/>
      <c r="J25" s="160"/>
      <c r="K25" s="160"/>
      <c r="L25" s="160"/>
      <c r="M25" s="160"/>
      <c r="N25" s="160"/>
      <c r="O25" s="160"/>
      <c r="P25" s="160"/>
      <c r="Q25" s="160"/>
      <c r="R25" s="160"/>
      <c r="S25" s="160"/>
      <c r="T25" s="160"/>
      <c r="U25" s="160"/>
      <c r="V25" s="160"/>
      <c r="W25" s="160"/>
      <c r="X25" s="21">
        <f t="shared" si="0"/>
        <v>0</v>
      </c>
      <c r="Y25" s="22">
        <f>IF(MSchedule[[#This Row],[Position]] = "Caller", Controls!$H$4, IF(MSchedule[[#This Row],[Position]] = "Trainee", Controls!$H$5, IF(MSchedule[[#This Row],[Position]] = "Lead Trainer", Controls!$H$6, IF(MSchedule[[#This Row],[Position]] = "District Lead", Controls!$H$7, IF(MSchedule[[#This Row],[Position]] = "Zone Leader", Controls!$H$8, "0")))))</f>
        <v>10</v>
      </c>
    </row>
    <row r="26" spans="2:25" ht="15" customHeight="1" x14ac:dyDescent="0.35">
      <c r="B26" s="160" t="s">
        <v>26</v>
      </c>
      <c r="C26" s="160" t="s">
        <v>116</v>
      </c>
      <c r="D26" s="160" t="s">
        <v>91</v>
      </c>
      <c r="E26" s="160"/>
      <c r="F26" s="160"/>
      <c r="G26" s="160"/>
      <c r="H26" s="160"/>
      <c r="I26" s="160"/>
      <c r="J26" s="160"/>
      <c r="K26" s="160"/>
      <c r="L26" s="160"/>
      <c r="M26" s="160"/>
      <c r="N26" s="160"/>
      <c r="O26" s="160"/>
      <c r="P26" s="160"/>
      <c r="Q26" s="160"/>
      <c r="R26" s="160"/>
      <c r="S26" s="160"/>
      <c r="T26" s="160"/>
      <c r="U26" s="160"/>
      <c r="V26" s="160"/>
      <c r="W26" s="160"/>
      <c r="X26" s="21">
        <f t="shared" si="0"/>
        <v>0</v>
      </c>
      <c r="Y26" s="22">
        <f>IF(MSchedule[[#This Row],[Position]] = "Caller", Controls!$H$4, IF(MSchedule[[#This Row],[Position]] = "Trainee", Controls!$H$5, IF(MSchedule[[#This Row],[Position]] = "Lead Trainer", Controls!$H$6, IF(MSchedule[[#This Row],[Position]] = "District Lead", Controls!$H$7, IF(MSchedule[[#This Row],[Position]] = "Zone Leader", Controls!$H$8, "0")))))</f>
        <v>10</v>
      </c>
    </row>
    <row r="27" spans="2:25" ht="15" customHeight="1" x14ac:dyDescent="0.35">
      <c r="B27" s="160" t="s">
        <v>62</v>
      </c>
      <c r="C27" s="160" t="s">
        <v>116</v>
      </c>
      <c r="D27" s="160" t="s">
        <v>81</v>
      </c>
      <c r="E27" s="160"/>
      <c r="F27" s="160"/>
      <c r="G27" s="160"/>
      <c r="H27" s="160"/>
      <c r="I27" s="160"/>
      <c r="J27" s="160"/>
      <c r="K27" s="160"/>
      <c r="L27" s="160"/>
      <c r="M27" s="160"/>
      <c r="N27" s="160"/>
      <c r="O27" s="160"/>
      <c r="P27" s="160"/>
      <c r="Q27" s="160"/>
      <c r="R27" s="160"/>
      <c r="S27" s="160"/>
      <c r="T27" s="160"/>
      <c r="U27" s="160"/>
      <c r="V27" s="160"/>
      <c r="W27" s="160"/>
      <c r="X27" s="21">
        <f t="shared" si="0"/>
        <v>0</v>
      </c>
      <c r="Y27" s="22">
        <f>IF(MSchedule[[#This Row],[Position]] = "Caller", Controls!$H$4, IF(MSchedule[[#This Row],[Position]] = "Trainee", Controls!$H$5, IF(MSchedule[[#This Row],[Position]] = "Lead Trainer", Controls!$H$6, IF(MSchedule[[#This Row],[Position]] = "District Lead", Controls!$H$7, IF(MSchedule[[#This Row],[Position]] = "Zone Leader", Controls!$H$8, "0")))))</f>
        <v>10</v>
      </c>
    </row>
    <row r="28" spans="2:25" ht="15" customHeight="1" x14ac:dyDescent="0.35">
      <c r="B28" s="160" t="s">
        <v>122</v>
      </c>
      <c r="C28" s="160" t="s">
        <v>146</v>
      </c>
      <c r="D28" s="160" t="s">
        <v>93</v>
      </c>
      <c r="E28" s="160"/>
      <c r="F28" s="160"/>
      <c r="G28" s="160"/>
      <c r="H28" s="160"/>
      <c r="I28" s="160"/>
      <c r="J28" s="160"/>
      <c r="K28" s="160"/>
      <c r="L28" s="160"/>
      <c r="M28" s="160"/>
      <c r="N28" s="160"/>
      <c r="O28" s="160"/>
      <c r="P28" s="160"/>
      <c r="Q28" s="160"/>
      <c r="R28" s="160"/>
      <c r="S28" s="160"/>
      <c r="T28" s="160"/>
      <c r="U28" s="160"/>
      <c r="V28" s="160"/>
      <c r="W28" s="160"/>
      <c r="X28" s="21">
        <f t="shared" si="0"/>
        <v>0</v>
      </c>
      <c r="Y28" s="22" t="str">
        <f>IF(MSchedule[[#This Row],[Position]] = "Caller", Controls!$H$4, IF(MSchedule[[#This Row],[Position]] = "Trainee", Controls!$H$5, IF(MSchedule[[#This Row],[Position]] = "Lead Trainer", Controls!$H$6, IF(MSchedule[[#This Row],[Position]] = "District Lead", Controls!$H$7, IF(MSchedule[[#This Row],[Position]] = "Zone Leader", Controls!$H$8, "0")))))</f>
        <v>0</v>
      </c>
    </row>
    <row r="29" spans="2:25" ht="15" customHeight="1" x14ac:dyDescent="0.35">
      <c r="B29" s="160" t="s">
        <v>121</v>
      </c>
      <c r="C29" s="160" t="s">
        <v>146</v>
      </c>
      <c r="D29" s="160" t="s">
        <v>85</v>
      </c>
      <c r="E29" s="160"/>
      <c r="F29" s="160"/>
      <c r="G29" s="160"/>
      <c r="H29" s="160"/>
      <c r="I29" s="160"/>
      <c r="J29" s="160"/>
      <c r="K29" s="160"/>
      <c r="L29" s="160"/>
      <c r="M29" s="160"/>
      <c r="N29" s="160"/>
      <c r="O29" s="160"/>
      <c r="P29" s="160"/>
      <c r="Q29" s="160"/>
      <c r="R29" s="160"/>
      <c r="S29" s="160"/>
      <c r="T29" s="160"/>
      <c r="U29" s="160"/>
      <c r="V29" s="160"/>
      <c r="W29" s="160"/>
      <c r="X29" s="21">
        <f t="shared" si="0"/>
        <v>0</v>
      </c>
      <c r="Y29" s="22" t="str">
        <f>IF(MSchedule[[#This Row],[Position]] = "Caller", Controls!$H$4, IF(MSchedule[[#This Row],[Position]] = "Trainee", Controls!$H$5, IF(MSchedule[[#This Row],[Position]] = "Lead Trainer", Controls!$H$6, IF(MSchedule[[#This Row],[Position]] = "District Lead", Controls!$H$7, IF(MSchedule[[#This Row],[Position]] = "Zone Leader", Controls!$H$8, "0")))))</f>
        <v>0</v>
      </c>
    </row>
    <row r="30" spans="2:25" ht="15" customHeight="1" x14ac:dyDescent="0.35">
      <c r="B30" s="160" t="s">
        <v>27</v>
      </c>
      <c r="C30" s="160" t="s">
        <v>116</v>
      </c>
      <c r="D30" s="160" t="s">
        <v>89</v>
      </c>
      <c r="E30" s="160"/>
      <c r="F30" s="160"/>
      <c r="G30" s="160"/>
      <c r="H30" s="160"/>
      <c r="I30" s="160"/>
      <c r="J30" s="160"/>
      <c r="K30" s="160"/>
      <c r="L30" s="160"/>
      <c r="M30" s="160"/>
      <c r="N30" s="160"/>
      <c r="O30" s="160"/>
      <c r="P30" s="160"/>
      <c r="Q30" s="160"/>
      <c r="R30" s="160"/>
      <c r="S30" s="160"/>
      <c r="T30" s="160"/>
      <c r="U30" s="160"/>
      <c r="V30" s="160"/>
      <c r="W30" s="160"/>
      <c r="X30" s="21">
        <f t="shared" si="0"/>
        <v>0</v>
      </c>
      <c r="Y30" s="22">
        <f>IF(MSchedule[[#This Row],[Position]] = "Caller", Controls!$H$4, IF(MSchedule[[#This Row],[Position]] = "Trainee", Controls!$H$5, IF(MSchedule[[#This Row],[Position]] = "Lead Trainer", Controls!$H$6, IF(MSchedule[[#This Row],[Position]] = "District Lead", Controls!$H$7, IF(MSchedule[[#This Row],[Position]] = "Zone Leader", Controls!$H$8, "0")))))</f>
        <v>10</v>
      </c>
    </row>
    <row r="31" spans="2:25" ht="15" customHeight="1" x14ac:dyDescent="0.35">
      <c r="B31" s="160" t="s">
        <v>28</v>
      </c>
      <c r="C31" s="160" t="s">
        <v>116</v>
      </c>
      <c r="D31" s="160" t="s">
        <v>94</v>
      </c>
      <c r="E31" s="160"/>
      <c r="F31" s="160"/>
      <c r="G31" s="160"/>
      <c r="H31" s="160"/>
      <c r="I31" s="160"/>
      <c r="J31" s="160"/>
      <c r="K31" s="160"/>
      <c r="L31" s="160"/>
      <c r="M31" s="160"/>
      <c r="N31" s="160"/>
      <c r="O31" s="160"/>
      <c r="P31" s="160"/>
      <c r="Q31" s="160"/>
      <c r="R31" s="160"/>
      <c r="S31" s="160"/>
      <c r="T31" s="160"/>
      <c r="U31" s="160"/>
      <c r="V31" s="160"/>
      <c r="W31" s="160"/>
      <c r="X31" s="21">
        <f t="shared" si="0"/>
        <v>0</v>
      </c>
      <c r="Y31" s="22">
        <f>IF(MSchedule[[#This Row],[Position]] = "Caller", Controls!$H$4, IF(MSchedule[[#This Row],[Position]] = "Trainee", Controls!$H$5, IF(MSchedule[[#This Row],[Position]] = "Lead Trainer", Controls!$H$6, IF(MSchedule[[#This Row],[Position]] = "District Lead", Controls!$H$7, IF(MSchedule[[#This Row],[Position]] = "Zone Leader", Controls!$H$8, "0")))))</f>
        <v>10</v>
      </c>
    </row>
    <row r="32" spans="2:25" ht="15" customHeight="1" x14ac:dyDescent="0.35">
      <c r="B32" s="160" t="s">
        <v>77</v>
      </c>
      <c r="C32" s="160" t="s">
        <v>118</v>
      </c>
      <c r="D32" s="160" t="s">
        <v>88</v>
      </c>
      <c r="E32" s="160"/>
      <c r="F32" s="160"/>
      <c r="G32" s="160"/>
      <c r="H32" s="160"/>
      <c r="I32" s="160"/>
      <c r="J32" s="160"/>
      <c r="K32" s="160"/>
      <c r="L32" s="160"/>
      <c r="M32" s="160"/>
      <c r="N32" s="160"/>
      <c r="O32" s="160"/>
      <c r="P32" s="160"/>
      <c r="Q32" s="160"/>
      <c r="R32" s="160"/>
      <c r="S32" s="160"/>
      <c r="T32" s="160"/>
      <c r="U32" s="160"/>
      <c r="V32" s="160"/>
      <c r="W32" s="160"/>
      <c r="X32" s="21">
        <f t="shared" si="0"/>
        <v>0</v>
      </c>
      <c r="Y32" s="22">
        <f>IF(MSchedule[[#This Row],[Position]] = "Caller", Controls!$H$4, IF(MSchedule[[#This Row],[Position]] = "Trainee", Controls!$H$5, IF(MSchedule[[#This Row],[Position]] = "Lead Trainer", Controls!$H$6, IF(MSchedule[[#This Row],[Position]] = "District Lead", Controls!$H$7, IF(MSchedule[[#This Row],[Position]] = "Zone Leader", Controls!$H$8, "0")))))</f>
        <v>12</v>
      </c>
    </row>
    <row r="33" spans="2:25" ht="15" customHeight="1" x14ac:dyDescent="0.35">
      <c r="B33" s="160" t="s">
        <v>29</v>
      </c>
      <c r="C33" s="160" t="s">
        <v>116</v>
      </c>
      <c r="D33" s="160" t="s">
        <v>81</v>
      </c>
      <c r="E33" s="160"/>
      <c r="F33" s="160"/>
      <c r="G33" s="160"/>
      <c r="H33" s="160"/>
      <c r="I33" s="160"/>
      <c r="J33" s="160"/>
      <c r="K33" s="160"/>
      <c r="L33" s="160"/>
      <c r="M33" s="160"/>
      <c r="N33" s="160"/>
      <c r="O33" s="160"/>
      <c r="P33" s="160"/>
      <c r="Q33" s="160"/>
      <c r="R33" s="160"/>
      <c r="S33" s="160"/>
      <c r="T33" s="160"/>
      <c r="U33" s="160"/>
      <c r="V33" s="160"/>
      <c r="W33" s="160"/>
      <c r="X33" s="21">
        <f t="shared" si="0"/>
        <v>0</v>
      </c>
      <c r="Y33" s="22">
        <f>IF(MSchedule[[#This Row],[Position]] = "Caller", Controls!$H$4, IF(MSchedule[[#This Row],[Position]] = "Trainee", Controls!$H$5, IF(MSchedule[[#This Row],[Position]] = "Lead Trainer", Controls!$H$6, IF(MSchedule[[#This Row],[Position]] = "District Lead", Controls!$H$7, IF(MSchedule[[#This Row],[Position]] = "Zone Leader", Controls!$H$8, "0")))))</f>
        <v>10</v>
      </c>
    </row>
    <row r="34" spans="2:25" ht="15" customHeight="1" x14ac:dyDescent="0.35">
      <c r="B34" s="160" t="s">
        <v>30</v>
      </c>
      <c r="C34" s="160" t="s">
        <v>116</v>
      </c>
      <c r="D34" s="160" t="s">
        <v>91</v>
      </c>
      <c r="E34" s="160"/>
      <c r="F34" s="160"/>
      <c r="G34" s="160"/>
      <c r="H34" s="160"/>
      <c r="I34" s="160"/>
      <c r="J34" s="160"/>
      <c r="K34" s="160"/>
      <c r="L34" s="160"/>
      <c r="M34" s="160"/>
      <c r="N34" s="160"/>
      <c r="O34" s="160"/>
      <c r="P34" s="160"/>
      <c r="Q34" s="160"/>
      <c r="R34" s="160"/>
      <c r="S34" s="160"/>
      <c r="T34" s="160"/>
      <c r="U34" s="160"/>
      <c r="V34" s="160"/>
      <c r="W34" s="160"/>
      <c r="X34" s="21">
        <f t="shared" si="0"/>
        <v>0</v>
      </c>
      <c r="Y34" s="22">
        <f>IF(MSchedule[[#This Row],[Position]] = "Caller", Controls!$H$4, IF(MSchedule[[#This Row],[Position]] = "Trainee", Controls!$H$5, IF(MSchedule[[#This Row],[Position]] = "Lead Trainer", Controls!$H$6, IF(MSchedule[[#This Row],[Position]] = "District Lead", Controls!$H$7, IF(MSchedule[[#This Row],[Position]] = "Zone Leader", Controls!$H$8, "0")))))</f>
        <v>10</v>
      </c>
    </row>
    <row r="35" spans="2:25" ht="15" customHeight="1" x14ac:dyDescent="0.35">
      <c r="B35" s="160" t="s">
        <v>78</v>
      </c>
      <c r="C35" s="160" t="s">
        <v>118</v>
      </c>
      <c r="D35" s="160" t="s">
        <v>90</v>
      </c>
      <c r="E35" s="160"/>
      <c r="F35" s="160"/>
      <c r="G35" s="160"/>
      <c r="H35" s="160"/>
      <c r="I35" s="160"/>
      <c r="J35" s="160"/>
      <c r="K35" s="160"/>
      <c r="L35" s="160"/>
      <c r="M35" s="160"/>
      <c r="N35" s="160"/>
      <c r="O35" s="160"/>
      <c r="P35" s="160"/>
      <c r="Q35" s="160"/>
      <c r="R35" s="160"/>
      <c r="S35" s="160"/>
      <c r="T35" s="160"/>
      <c r="U35" s="160"/>
      <c r="V35" s="160"/>
      <c r="W35" s="160"/>
      <c r="X35" s="21">
        <f t="shared" si="0"/>
        <v>0</v>
      </c>
      <c r="Y35" s="22">
        <f>IF(MSchedule[[#This Row],[Position]] = "Caller", Controls!$H$4, IF(MSchedule[[#This Row],[Position]] = "Trainee", Controls!$H$5, IF(MSchedule[[#This Row],[Position]] = "Lead Trainer", Controls!$H$6, IF(MSchedule[[#This Row],[Position]] = "District Lead", Controls!$H$7, IF(MSchedule[[#This Row],[Position]] = "Zone Leader", Controls!$H$8, "0")))))</f>
        <v>12</v>
      </c>
    </row>
    <row r="36" spans="2:25" ht="15" customHeight="1" x14ac:dyDescent="0.35">
      <c r="B36" s="160" t="s">
        <v>31</v>
      </c>
      <c r="C36" s="160" t="s">
        <v>116</v>
      </c>
      <c r="D36" s="160" t="s">
        <v>83</v>
      </c>
      <c r="E36" s="160"/>
      <c r="F36" s="160"/>
      <c r="G36" s="160"/>
      <c r="H36" s="160"/>
      <c r="I36" s="160"/>
      <c r="J36" s="160"/>
      <c r="K36" s="160"/>
      <c r="L36" s="160"/>
      <c r="M36" s="160"/>
      <c r="N36" s="160"/>
      <c r="O36" s="160"/>
      <c r="P36" s="160"/>
      <c r="Q36" s="160"/>
      <c r="R36" s="160"/>
      <c r="S36" s="160"/>
      <c r="T36" s="160"/>
      <c r="U36" s="160"/>
      <c r="V36" s="160"/>
      <c r="W36" s="160"/>
      <c r="X36" s="21">
        <f t="shared" si="0"/>
        <v>0</v>
      </c>
      <c r="Y36" s="22">
        <f>IF(MSchedule[[#This Row],[Position]] = "Caller", Controls!$H$4, IF(MSchedule[[#This Row],[Position]] = "Trainee", Controls!$H$5, IF(MSchedule[[#This Row],[Position]] = "Lead Trainer", Controls!$H$6, IF(MSchedule[[#This Row],[Position]] = "District Lead", Controls!$H$7, IF(MSchedule[[#This Row],[Position]] = "Zone Leader", Controls!$H$8, "0")))))</f>
        <v>10</v>
      </c>
    </row>
    <row r="37" spans="2:25" ht="15" customHeight="1" x14ac:dyDescent="0.35">
      <c r="B37" s="160" t="s">
        <v>63</v>
      </c>
      <c r="C37" s="160" t="s">
        <v>116</v>
      </c>
      <c r="D37" s="160" t="s">
        <v>122</v>
      </c>
      <c r="E37" s="160"/>
      <c r="F37" s="160"/>
      <c r="G37" s="160"/>
      <c r="H37" s="160"/>
      <c r="I37" s="160"/>
      <c r="J37" s="160"/>
      <c r="K37" s="160"/>
      <c r="L37" s="160"/>
      <c r="M37" s="160"/>
      <c r="N37" s="160"/>
      <c r="O37" s="160"/>
      <c r="P37" s="160"/>
      <c r="Q37" s="160"/>
      <c r="R37" s="160"/>
      <c r="S37" s="160"/>
      <c r="T37" s="160"/>
      <c r="U37" s="160"/>
      <c r="V37" s="160"/>
      <c r="W37" s="160"/>
      <c r="X37" s="21">
        <f t="shared" si="0"/>
        <v>0</v>
      </c>
      <c r="Y37" s="22">
        <f>IF(MSchedule[[#This Row],[Position]] = "Caller", Controls!$H$4, IF(MSchedule[[#This Row],[Position]] = "Trainee", Controls!$H$5, IF(MSchedule[[#This Row],[Position]] = "Lead Trainer", Controls!$H$6, IF(MSchedule[[#This Row],[Position]] = "District Lead", Controls!$H$7, IF(MSchedule[[#This Row],[Position]] = "Zone Leader", Controls!$H$8, "0")))))</f>
        <v>10</v>
      </c>
    </row>
    <row r="38" spans="2:25" ht="15" customHeight="1" x14ac:dyDescent="0.35">
      <c r="B38" s="160" t="s">
        <v>32</v>
      </c>
      <c r="C38" s="160" t="s">
        <v>116</v>
      </c>
      <c r="D38" s="160" t="s">
        <v>82</v>
      </c>
      <c r="E38" s="160"/>
      <c r="F38" s="160"/>
      <c r="G38" s="160"/>
      <c r="H38" s="160"/>
      <c r="I38" s="160"/>
      <c r="J38" s="160"/>
      <c r="K38" s="160"/>
      <c r="L38" s="160"/>
      <c r="M38" s="160"/>
      <c r="N38" s="160"/>
      <c r="O38" s="160"/>
      <c r="P38" s="160"/>
      <c r="Q38" s="160"/>
      <c r="R38" s="160"/>
      <c r="S38" s="160"/>
      <c r="T38" s="160"/>
      <c r="U38" s="160"/>
      <c r="V38" s="160"/>
      <c r="W38" s="160"/>
      <c r="X38" s="21">
        <f t="shared" ref="X38:X69" si="1">COUNTA(E38:G38,I38:K38,M38:O38,Q38:S38,U38:V38,W38)*2 + COUNTA(H38,L38,P38,T38)</f>
        <v>0</v>
      </c>
      <c r="Y38" s="22">
        <f>IF(MSchedule[[#This Row],[Position]] = "Caller", Controls!$H$4, IF(MSchedule[[#This Row],[Position]] = "Trainee", Controls!$H$5, IF(MSchedule[[#This Row],[Position]] = "Lead Trainer", Controls!$H$6, IF(MSchedule[[#This Row],[Position]] = "District Lead", Controls!$H$7, IF(MSchedule[[#This Row],[Position]] = "Zone Leader", Controls!$H$8, "0")))))</f>
        <v>10</v>
      </c>
    </row>
    <row r="39" spans="2:25" ht="15" customHeight="1" x14ac:dyDescent="0.35">
      <c r="B39" s="160" t="s">
        <v>65</v>
      </c>
      <c r="C39" s="160" t="s">
        <v>116</v>
      </c>
      <c r="D39" s="160" t="s">
        <v>82</v>
      </c>
      <c r="E39" s="160"/>
      <c r="F39" s="160"/>
      <c r="G39" s="160"/>
      <c r="H39" s="160"/>
      <c r="I39" s="160"/>
      <c r="J39" s="160"/>
      <c r="K39" s="160"/>
      <c r="L39" s="160"/>
      <c r="M39" s="160"/>
      <c r="N39" s="160"/>
      <c r="O39" s="160"/>
      <c r="P39" s="160"/>
      <c r="Q39" s="160"/>
      <c r="R39" s="160"/>
      <c r="S39" s="160"/>
      <c r="T39" s="160"/>
      <c r="U39" s="160"/>
      <c r="V39" s="160"/>
      <c r="W39" s="160"/>
      <c r="X39" s="21">
        <f t="shared" si="1"/>
        <v>0</v>
      </c>
      <c r="Y39" s="22">
        <f>IF(MSchedule[[#This Row],[Position]] = "Caller", Controls!$H$4, IF(MSchedule[[#This Row],[Position]] = "Trainee", Controls!$H$5, IF(MSchedule[[#This Row],[Position]] = "Lead Trainer", Controls!$H$6, IF(MSchedule[[#This Row],[Position]] = "District Lead", Controls!$H$7, IF(MSchedule[[#This Row],[Position]] = "Zone Leader", Controls!$H$8, "0")))))</f>
        <v>10</v>
      </c>
    </row>
    <row r="40" spans="2:25" ht="15" customHeight="1" x14ac:dyDescent="0.35">
      <c r="B40" s="160" t="s">
        <v>79</v>
      </c>
      <c r="C40" s="160" t="s">
        <v>118</v>
      </c>
      <c r="D40" s="160" t="s">
        <v>83</v>
      </c>
      <c r="E40" s="160"/>
      <c r="F40" s="160"/>
      <c r="G40" s="160"/>
      <c r="H40" s="160"/>
      <c r="I40" s="160"/>
      <c r="J40" s="160"/>
      <c r="K40" s="160"/>
      <c r="L40" s="160"/>
      <c r="M40" s="160"/>
      <c r="N40" s="160"/>
      <c r="O40" s="160"/>
      <c r="P40" s="160"/>
      <c r="Q40" s="160"/>
      <c r="R40" s="160"/>
      <c r="S40" s="160"/>
      <c r="T40" s="160"/>
      <c r="U40" s="160"/>
      <c r="V40" s="160"/>
      <c r="W40" s="160"/>
      <c r="X40" s="21">
        <f t="shared" si="1"/>
        <v>0</v>
      </c>
      <c r="Y40" s="22">
        <f>IF(MSchedule[[#This Row],[Position]] = "Caller", Controls!$H$4, IF(MSchedule[[#This Row],[Position]] = "Trainee", Controls!$H$5, IF(MSchedule[[#This Row],[Position]] = "Lead Trainer", Controls!$H$6, IF(MSchedule[[#This Row],[Position]] = "District Lead", Controls!$H$7, IF(MSchedule[[#This Row],[Position]] = "Zone Leader", Controls!$H$8, "0")))))</f>
        <v>12</v>
      </c>
    </row>
    <row r="41" spans="2:25" ht="15" customHeight="1" x14ac:dyDescent="0.35">
      <c r="B41" s="160" t="s">
        <v>66</v>
      </c>
      <c r="C41" s="160" t="s">
        <v>116</v>
      </c>
      <c r="D41" s="160" t="s">
        <v>83</v>
      </c>
      <c r="E41" s="160"/>
      <c r="F41" s="160"/>
      <c r="G41" s="160"/>
      <c r="H41" s="160"/>
      <c r="I41" s="160"/>
      <c r="J41" s="160"/>
      <c r="K41" s="160"/>
      <c r="L41" s="160"/>
      <c r="M41" s="160"/>
      <c r="N41" s="160"/>
      <c r="O41" s="160"/>
      <c r="P41" s="160"/>
      <c r="Q41" s="160"/>
      <c r="R41" s="160"/>
      <c r="S41" s="160"/>
      <c r="T41" s="160"/>
      <c r="U41" s="160"/>
      <c r="V41" s="160"/>
      <c r="W41" s="160"/>
      <c r="X41" s="21">
        <f t="shared" si="1"/>
        <v>0</v>
      </c>
      <c r="Y41" s="22">
        <f>IF(MSchedule[[#This Row],[Position]] = "Caller", Controls!$H$4, IF(MSchedule[[#This Row],[Position]] = "Trainee", Controls!$H$5, IF(MSchedule[[#This Row],[Position]] = "Lead Trainer", Controls!$H$6, IF(MSchedule[[#This Row],[Position]] = "District Lead", Controls!$H$7, IF(MSchedule[[#This Row],[Position]] = "Zone Leader", Controls!$H$8, "0")))))</f>
        <v>10</v>
      </c>
    </row>
    <row r="42" spans="2:25" ht="15" customHeight="1" x14ac:dyDescent="0.35">
      <c r="B42" s="160" t="s">
        <v>33</v>
      </c>
      <c r="C42" s="160" t="s">
        <v>116</v>
      </c>
      <c r="D42" s="160" t="s">
        <v>88</v>
      </c>
      <c r="E42" s="160"/>
      <c r="F42" s="160"/>
      <c r="G42" s="160"/>
      <c r="H42" s="160"/>
      <c r="I42" s="160"/>
      <c r="J42" s="160"/>
      <c r="K42" s="160"/>
      <c r="L42" s="160" t="s">
        <v>17</v>
      </c>
      <c r="M42" s="160"/>
      <c r="N42" s="160" t="s">
        <v>17</v>
      </c>
      <c r="O42" s="160" t="s">
        <v>17</v>
      </c>
      <c r="P42" s="160"/>
      <c r="Q42" s="160"/>
      <c r="R42" s="160" t="s">
        <v>17</v>
      </c>
      <c r="S42" s="160" t="s">
        <v>17</v>
      </c>
      <c r="T42" s="160"/>
      <c r="U42" s="160" t="s">
        <v>17</v>
      </c>
      <c r="V42" s="160" t="s">
        <v>17</v>
      </c>
      <c r="W42" s="160"/>
      <c r="X42" s="21">
        <f t="shared" si="1"/>
        <v>13</v>
      </c>
      <c r="Y42" s="22">
        <f>IF(MSchedule[[#This Row],[Position]] = "Caller", Controls!$H$4, IF(MSchedule[[#This Row],[Position]] = "Trainee", Controls!$H$5, IF(MSchedule[[#This Row],[Position]] = "Lead Trainer", Controls!$H$6, IF(MSchedule[[#This Row],[Position]] = "District Lead", Controls!$H$7, IF(MSchedule[[#This Row],[Position]] = "Zone Leader", Controls!$H$8, "0")))))</f>
        <v>10</v>
      </c>
    </row>
    <row r="43" spans="2:25" ht="15" customHeight="1" x14ac:dyDescent="0.35">
      <c r="B43" s="160" t="s">
        <v>67</v>
      </c>
      <c r="C43" s="160" t="s">
        <v>116</v>
      </c>
      <c r="D43" s="160" t="s">
        <v>90</v>
      </c>
      <c r="E43" s="160"/>
      <c r="F43" s="160"/>
      <c r="G43" s="160"/>
      <c r="H43" s="160"/>
      <c r="I43" s="160"/>
      <c r="J43" s="160"/>
      <c r="K43" s="160"/>
      <c r="L43" s="160"/>
      <c r="M43" s="160"/>
      <c r="N43" s="160"/>
      <c r="O43" s="160"/>
      <c r="P43" s="160"/>
      <c r="Q43" s="160"/>
      <c r="R43" s="160"/>
      <c r="S43" s="160"/>
      <c r="T43" s="160"/>
      <c r="U43" s="160"/>
      <c r="V43" s="160"/>
      <c r="W43" s="160"/>
      <c r="X43" s="21">
        <f t="shared" si="1"/>
        <v>0</v>
      </c>
      <c r="Y43" s="22">
        <f>IF(MSchedule[[#This Row],[Position]] = "Caller", Controls!$H$4, IF(MSchedule[[#This Row],[Position]] = "Trainee", Controls!$H$5, IF(MSchedule[[#This Row],[Position]] = "Lead Trainer", Controls!$H$6, IF(MSchedule[[#This Row],[Position]] = "District Lead", Controls!$H$7, IF(MSchedule[[#This Row],[Position]] = "Zone Leader", Controls!$H$8, "0")))))</f>
        <v>10</v>
      </c>
    </row>
    <row r="44" spans="2:25" ht="15" customHeight="1" x14ac:dyDescent="0.35">
      <c r="B44" s="160" t="s">
        <v>34</v>
      </c>
      <c r="C44" s="160" t="s">
        <v>116</v>
      </c>
      <c r="D44" s="160" t="s">
        <v>122</v>
      </c>
      <c r="E44" s="160"/>
      <c r="F44" s="160"/>
      <c r="G44" s="160"/>
      <c r="H44" s="160"/>
      <c r="I44" s="160"/>
      <c r="J44" s="160"/>
      <c r="K44" s="160"/>
      <c r="L44" s="160"/>
      <c r="M44" s="160"/>
      <c r="N44" s="160"/>
      <c r="O44" s="160"/>
      <c r="P44" s="160"/>
      <c r="Q44" s="160"/>
      <c r="R44" s="160"/>
      <c r="S44" s="160"/>
      <c r="T44" s="160"/>
      <c r="U44" s="160"/>
      <c r="V44" s="160"/>
      <c r="W44" s="160"/>
      <c r="X44" s="21">
        <f t="shared" si="1"/>
        <v>0</v>
      </c>
      <c r="Y44" s="22">
        <f>IF(MSchedule[[#This Row],[Position]] = "Caller", Controls!$H$4, IF(MSchedule[[#This Row],[Position]] = "Trainee", Controls!$H$5, IF(MSchedule[[#This Row],[Position]] = "Lead Trainer", Controls!$H$6, IF(MSchedule[[#This Row],[Position]] = "District Lead", Controls!$H$7, IF(MSchedule[[#This Row],[Position]] = "Zone Leader", Controls!$H$8, "0")))))</f>
        <v>10</v>
      </c>
    </row>
    <row r="45" spans="2:25" ht="15" customHeight="1" x14ac:dyDescent="0.35">
      <c r="B45" s="160" t="s">
        <v>35</v>
      </c>
      <c r="C45" s="160" t="s">
        <v>116</v>
      </c>
      <c r="D45" s="160" t="s">
        <v>121</v>
      </c>
      <c r="E45" s="160"/>
      <c r="F45" s="160"/>
      <c r="G45" s="160"/>
      <c r="H45" s="160"/>
      <c r="I45" s="160"/>
      <c r="J45" s="160"/>
      <c r="K45" s="160"/>
      <c r="L45" s="160"/>
      <c r="M45" s="160"/>
      <c r="N45" s="160"/>
      <c r="O45" s="160"/>
      <c r="P45" s="160"/>
      <c r="Q45" s="160"/>
      <c r="R45" s="160"/>
      <c r="S45" s="160"/>
      <c r="T45" s="160"/>
      <c r="U45" s="160"/>
      <c r="V45" s="160"/>
      <c r="W45" s="160"/>
      <c r="X45" s="21">
        <f t="shared" si="1"/>
        <v>0</v>
      </c>
      <c r="Y45" s="22">
        <f>IF(MSchedule[[#This Row],[Position]] = "Caller", Controls!$H$4, IF(MSchedule[[#This Row],[Position]] = "Trainee", Controls!$H$5, IF(MSchedule[[#This Row],[Position]] = "Lead Trainer", Controls!$H$6, IF(MSchedule[[#This Row],[Position]] = "District Lead", Controls!$H$7, IF(MSchedule[[#This Row],[Position]] = "Zone Leader", Controls!$H$8, "0")))))</f>
        <v>10</v>
      </c>
    </row>
    <row r="46" spans="2:25" ht="15" customHeight="1" x14ac:dyDescent="0.35">
      <c r="B46" s="160" t="s">
        <v>80</v>
      </c>
      <c r="C46" s="160" t="s">
        <v>118</v>
      </c>
      <c r="D46" s="160" t="s">
        <v>121</v>
      </c>
      <c r="E46" s="160"/>
      <c r="F46" s="160"/>
      <c r="G46" s="160"/>
      <c r="H46" s="160"/>
      <c r="I46" s="160"/>
      <c r="J46" s="160"/>
      <c r="K46" s="160"/>
      <c r="L46" s="160"/>
      <c r="M46" s="160"/>
      <c r="N46" s="160"/>
      <c r="O46" s="160"/>
      <c r="P46" s="160"/>
      <c r="Q46" s="160"/>
      <c r="R46" s="160"/>
      <c r="S46" s="160"/>
      <c r="T46" s="160"/>
      <c r="U46" s="160"/>
      <c r="V46" s="160"/>
      <c r="W46" s="160"/>
      <c r="X46" s="21">
        <f t="shared" si="1"/>
        <v>0</v>
      </c>
      <c r="Y46" s="22">
        <f>IF(MSchedule[[#This Row],[Position]] = "Caller", Controls!$H$4, IF(MSchedule[[#This Row],[Position]] = "Trainee", Controls!$H$5, IF(MSchedule[[#This Row],[Position]] = "Lead Trainer", Controls!$H$6, IF(MSchedule[[#This Row],[Position]] = "District Lead", Controls!$H$7, IF(MSchedule[[#This Row],[Position]] = "Zone Leader", Controls!$H$8, "0")))))</f>
        <v>12</v>
      </c>
    </row>
    <row r="47" spans="2:25" ht="15" customHeight="1" x14ac:dyDescent="0.35">
      <c r="B47" s="160" t="s">
        <v>87</v>
      </c>
      <c r="C47" s="160" t="s">
        <v>120</v>
      </c>
      <c r="D47" s="160" t="s">
        <v>120</v>
      </c>
      <c r="E47" s="160"/>
      <c r="F47" s="160"/>
      <c r="G47" s="160"/>
      <c r="H47" s="160"/>
      <c r="I47" s="160"/>
      <c r="J47" s="160"/>
      <c r="K47" s="160"/>
      <c r="L47" s="160"/>
      <c r="M47" s="160"/>
      <c r="N47" s="160"/>
      <c r="O47" s="160"/>
      <c r="P47" s="160"/>
      <c r="Q47" s="160"/>
      <c r="R47" s="160"/>
      <c r="S47" s="160"/>
      <c r="T47" s="160"/>
      <c r="U47" s="160"/>
      <c r="V47" s="160"/>
      <c r="W47" s="160"/>
      <c r="X47" s="21">
        <f t="shared" si="1"/>
        <v>0</v>
      </c>
      <c r="Y47" s="22">
        <f>IF(MSchedule[[#This Row],[Position]] = "Caller", Controls!$H$4, IF(MSchedule[[#This Row],[Position]] = "Trainee", Controls!$H$5, IF(MSchedule[[#This Row],[Position]] = "Lead Trainer", Controls!$H$6, IF(MSchedule[[#This Row],[Position]] = "District Lead", Controls!$H$7, IF(MSchedule[[#This Row],[Position]] = "Zone Leader", Controls!$H$8, "0")))))</f>
        <v>14</v>
      </c>
    </row>
    <row r="48" spans="2:25" ht="15" customHeight="1" x14ac:dyDescent="0.35">
      <c r="B48" s="160" t="s">
        <v>36</v>
      </c>
      <c r="C48" s="160" t="s">
        <v>116</v>
      </c>
      <c r="D48" s="160" t="s">
        <v>90</v>
      </c>
      <c r="E48" s="160"/>
      <c r="F48" s="160"/>
      <c r="G48" s="160"/>
      <c r="H48" s="160"/>
      <c r="I48" s="160"/>
      <c r="J48" s="160"/>
      <c r="K48" s="160"/>
      <c r="L48" s="160"/>
      <c r="M48" s="160"/>
      <c r="N48" s="160"/>
      <c r="O48" s="160"/>
      <c r="P48" s="160"/>
      <c r="Q48" s="160"/>
      <c r="R48" s="160"/>
      <c r="S48" s="160"/>
      <c r="T48" s="160"/>
      <c r="U48" s="160"/>
      <c r="V48" s="160"/>
      <c r="W48" s="160"/>
      <c r="X48" s="21">
        <f t="shared" si="1"/>
        <v>0</v>
      </c>
      <c r="Y48" s="22">
        <f>IF(MSchedule[[#This Row],[Position]] = "Caller", Controls!$H$4, IF(MSchedule[[#This Row],[Position]] = "Trainee", Controls!$H$5, IF(MSchedule[[#This Row],[Position]] = "Lead Trainer", Controls!$H$6, IF(MSchedule[[#This Row],[Position]] = "District Lead", Controls!$H$7, IF(MSchedule[[#This Row],[Position]] = "Zone Leader", Controls!$H$8, "0")))))</f>
        <v>10</v>
      </c>
    </row>
    <row r="49" spans="2:25" ht="15" customHeight="1" x14ac:dyDescent="0.35">
      <c r="B49" s="160" t="s">
        <v>88</v>
      </c>
      <c r="C49" s="160" t="s">
        <v>146</v>
      </c>
      <c r="D49" s="160" t="s">
        <v>85</v>
      </c>
      <c r="E49" s="160"/>
      <c r="F49" s="160"/>
      <c r="G49" s="160"/>
      <c r="H49" s="160"/>
      <c r="I49" s="160"/>
      <c r="J49" s="160"/>
      <c r="K49" s="160"/>
      <c r="L49" s="160"/>
      <c r="M49" s="160"/>
      <c r="N49" s="160"/>
      <c r="O49" s="160"/>
      <c r="P49" s="160"/>
      <c r="Q49" s="160"/>
      <c r="R49" s="160"/>
      <c r="S49" s="160"/>
      <c r="T49" s="160"/>
      <c r="U49" s="160"/>
      <c r="V49" s="160"/>
      <c r="W49" s="160"/>
      <c r="X49" s="21">
        <f t="shared" si="1"/>
        <v>0</v>
      </c>
      <c r="Y49" s="22" t="str">
        <f>IF(MSchedule[[#This Row],[Position]] = "Caller", Controls!$H$4, IF(MSchedule[[#This Row],[Position]] = "Trainee", Controls!$H$5, IF(MSchedule[[#This Row],[Position]] = "Lead Trainer", Controls!$H$6, IF(MSchedule[[#This Row],[Position]] = "District Lead", Controls!$H$7, IF(MSchedule[[#This Row],[Position]] = "Zone Leader", Controls!$H$8, "0")))))</f>
        <v>0</v>
      </c>
    </row>
    <row r="50" spans="2:25" ht="15" customHeight="1" x14ac:dyDescent="0.35">
      <c r="B50" s="160" t="s">
        <v>37</v>
      </c>
      <c r="C50" s="160" t="s">
        <v>116</v>
      </c>
      <c r="D50" s="160" t="s">
        <v>84</v>
      </c>
      <c r="E50" s="160"/>
      <c r="F50" s="160"/>
      <c r="G50" s="160"/>
      <c r="H50" s="160"/>
      <c r="I50" s="160"/>
      <c r="J50" s="160"/>
      <c r="K50" s="160"/>
      <c r="L50" s="160"/>
      <c r="M50" s="160"/>
      <c r="N50" s="160"/>
      <c r="O50" s="160"/>
      <c r="P50" s="160"/>
      <c r="Q50" s="160"/>
      <c r="R50" s="160"/>
      <c r="S50" s="160"/>
      <c r="T50" s="160"/>
      <c r="U50" s="160"/>
      <c r="V50" s="160"/>
      <c r="W50" s="160"/>
      <c r="X50" s="21">
        <f t="shared" si="1"/>
        <v>0</v>
      </c>
      <c r="Y50" s="22">
        <f>IF(MSchedule[[#This Row],[Position]] = "Caller", Controls!$H$4, IF(MSchedule[[#This Row],[Position]] = "Trainee", Controls!$H$5, IF(MSchedule[[#This Row],[Position]] = "Lead Trainer", Controls!$H$6, IF(MSchedule[[#This Row],[Position]] = "District Lead", Controls!$H$7, IF(MSchedule[[#This Row],[Position]] = "Zone Leader", Controls!$H$8, "0")))))</f>
        <v>10</v>
      </c>
    </row>
    <row r="51" spans="2:25" ht="15" customHeight="1" x14ac:dyDescent="0.35">
      <c r="B51" s="160" t="s">
        <v>68</v>
      </c>
      <c r="C51" s="160" t="s">
        <v>116</v>
      </c>
      <c r="D51" s="160" t="s">
        <v>82</v>
      </c>
      <c r="E51" s="160"/>
      <c r="F51" s="160"/>
      <c r="G51" s="160"/>
      <c r="H51" s="160"/>
      <c r="I51" s="160"/>
      <c r="J51" s="160"/>
      <c r="K51" s="160"/>
      <c r="L51" s="160" t="s">
        <v>17</v>
      </c>
      <c r="M51" s="160"/>
      <c r="N51" s="160" t="s">
        <v>17</v>
      </c>
      <c r="O51" s="160" t="s">
        <v>17</v>
      </c>
      <c r="P51" s="160"/>
      <c r="Q51" s="160"/>
      <c r="R51" s="160" t="s">
        <v>17</v>
      </c>
      <c r="S51" s="160" t="s">
        <v>17</v>
      </c>
      <c r="T51" s="160"/>
      <c r="U51" s="160" t="s">
        <v>17</v>
      </c>
      <c r="V51" s="160" t="s">
        <v>17</v>
      </c>
      <c r="W51" s="160"/>
      <c r="X51" s="21">
        <f t="shared" si="1"/>
        <v>13</v>
      </c>
      <c r="Y51" s="22">
        <f>IF(MSchedule[[#This Row],[Position]] = "Caller", Controls!$H$4, IF(MSchedule[[#This Row],[Position]] = "Trainee", Controls!$H$5, IF(MSchedule[[#This Row],[Position]] = "Lead Trainer", Controls!$H$6, IF(MSchedule[[#This Row],[Position]] = "District Lead", Controls!$H$7, IF(MSchedule[[#This Row],[Position]] = "Zone Leader", Controls!$H$8, "0")))))</f>
        <v>10</v>
      </c>
    </row>
    <row r="52" spans="2:25" ht="15" customHeight="1" x14ac:dyDescent="0.35">
      <c r="B52" s="160" t="s">
        <v>90</v>
      </c>
      <c r="C52" s="160" t="s">
        <v>146</v>
      </c>
      <c r="D52" s="160" t="s">
        <v>87</v>
      </c>
      <c r="E52" s="160"/>
      <c r="F52" s="160"/>
      <c r="G52" s="160"/>
      <c r="H52" s="160"/>
      <c r="I52" s="160"/>
      <c r="J52" s="160"/>
      <c r="K52" s="160"/>
      <c r="L52" s="160"/>
      <c r="M52" s="160"/>
      <c r="N52" s="160"/>
      <c r="O52" s="160"/>
      <c r="P52" s="160"/>
      <c r="Q52" s="160"/>
      <c r="R52" s="160"/>
      <c r="S52" s="160"/>
      <c r="T52" s="160"/>
      <c r="U52" s="160"/>
      <c r="V52" s="160"/>
      <c r="W52" s="160"/>
      <c r="X52" s="21">
        <f t="shared" si="1"/>
        <v>0</v>
      </c>
      <c r="Y52" s="22" t="str">
        <f>IF(MSchedule[[#This Row],[Position]] = "Caller", Controls!$H$4, IF(MSchedule[[#This Row],[Position]] = "Trainee", Controls!$H$5, IF(MSchedule[[#This Row],[Position]] = "Lead Trainer", Controls!$H$6, IF(MSchedule[[#This Row],[Position]] = "District Lead", Controls!$H$7, IF(MSchedule[[#This Row],[Position]] = "Zone Leader", Controls!$H$8, "0")))))</f>
        <v>0</v>
      </c>
    </row>
    <row r="53" spans="2:25" ht="15" customHeight="1" x14ac:dyDescent="0.35">
      <c r="B53" s="160" t="s">
        <v>38</v>
      </c>
      <c r="C53" s="160" t="s">
        <v>116</v>
      </c>
      <c r="D53" s="160" t="s">
        <v>121</v>
      </c>
      <c r="E53" s="160"/>
      <c r="F53" s="160"/>
      <c r="G53" s="160"/>
      <c r="H53" s="160"/>
      <c r="I53" s="160"/>
      <c r="J53" s="160"/>
      <c r="K53" s="160"/>
      <c r="L53" s="160"/>
      <c r="M53" s="160"/>
      <c r="N53" s="160"/>
      <c r="O53" s="160"/>
      <c r="P53" s="160"/>
      <c r="Q53" s="160"/>
      <c r="R53" s="160"/>
      <c r="S53" s="160"/>
      <c r="T53" s="160"/>
      <c r="U53" s="160"/>
      <c r="V53" s="160"/>
      <c r="W53" s="160"/>
      <c r="X53" s="21">
        <f t="shared" si="1"/>
        <v>0</v>
      </c>
      <c r="Y53" s="22">
        <f>IF(MSchedule[[#This Row],[Position]] = "Caller", Controls!$H$4, IF(MSchedule[[#This Row],[Position]] = "Trainee", Controls!$H$5, IF(MSchedule[[#This Row],[Position]] = "Lead Trainer", Controls!$H$6, IF(MSchedule[[#This Row],[Position]] = "District Lead", Controls!$H$7, IF(MSchedule[[#This Row],[Position]] = "Zone Leader", Controls!$H$8, "0")))))</f>
        <v>10</v>
      </c>
    </row>
    <row r="54" spans="2:25" ht="15" customHeight="1" x14ac:dyDescent="0.35">
      <c r="B54" s="160" t="s">
        <v>69</v>
      </c>
      <c r="C54" s="160" t="s">
        <v>116</v>
      </c>
      <c r="D54" s="160" t="s">
        <v>92</v>
      </c>
      <c r="E54" s="160"/>
      <c r="F54" s="160"/>
      <c r="G54" s="160"/>
      <c r="H54" s="160"/>
      <c r="I54" s="160"/>
      <c r="J54" s="160"/>
      <c r="K54" s="160"/>
      <c r="L54" s="160" t="s">
        <v>17</v>
      </c>
      <c r="M54" s="160"/>
      <c r="N54" s="160" t="s">
        <v>17</v>
      </c>
      <c r="O54" s="160"/>
      <c r="P54" s="160" t="s">
        <v>17</v>
      </c>
      <c r="Q54" s="160"/>
      <c r="R54" s="160"/>
      <c r="S54" s="160"/>
      <c r="T54" s="160"/>
      <c r="U54" s="160"/>
      <c r="V54" s="160"/>
      <c r="W54" s="160"/>
      <c r="X54" s="21">
        <f t="shared" si="1"/>
        <v>4</v>
      </c>
      <c r="Y54" s="22">
        <f>IF(MSchedule[[#This Row],[Position]] = "Caller", Controls!$H$4, IF(MSchedule[[#This Row],[Position]] = "Trainee", Controls!$H$5, IF(MSchedule[[#This Row],[Position]] = "Lead Trainer", Controls!$H$6, IF(MSchedule[[#This Row],[Position]] = "District Lead", Controls!$H$7, IF(MSchedule[[#This Row],[Position]] = "Zone Leader", Controls!$H$8, "0")))))</f>
        <v>10</v>
      </c>
    </row>
    <row r="55" spans="2:25" ht="15" customHeight="1" x14ac:dyDescent="0.35">
      <c r="B55" s="160" t="s">
        <v>39</v>
      </c>
      <c r="C55" s="160" t="s">
        <v>116</v>
      </c>
      <c r="D55" s="160" t="s">
        <v>81</v>
      </c>
      <c r="E55" s="160"/>
      <c r="F55" s="160"/>
      <c r="G55" s="160"/>
      <c r="H55" s="160"/>
      <c r="I55" s="160"/>
      <c r="J55" s="160"/>
      <c r="K55" s="160"/>
      <c r="L55" s="160"/>
      <c r="M55" s="160"/>
      <c r="N55" s="160"/>
      <c r="O55" s="160"/>
      <c r="P55" s="160"/>
      <c r="Q55" s="160"/>
      <c r="R55" s="160"/>
      <c r="S55" s="160"/>
      <c r="T55" s="160"/>
      <c r="U55" s="160"/>
      <c r="V55" s="160"/>
      <c r="W55" s="160"/>
      <c r="X55" s="21">
        <f t="shared" si="1"/>
        <v>0</v>
      </c>
      <c r="Y55" s="22">
        <f>IF(MSchedule[[#This Row],[Position]] = "Caller", Controls!$H$4, IF(MSchedule[[#This Row],[Position]] = "Trainee", Controls!$H$5, IF(MSchedule[[#This Row],[Position]] = "Lead Trainer", Controls!$H$6, IF(MSchedule[[#This Row],[Position]] = "District Lead", Controls!$H$7, IF(MSchedule[[#This Row],[Position]] = "Zone Leader", Controls!$H$8, "0")))))</f>
        <v>10</v>
      </c>
    </row>
    <row r="56" spans="2:25" ht="15" customHeight="1" x14ac:dyDescent="0.35">
      <c r="B56" s="160" t="s">
        <v>40</v>
      </c>
      <c r="C56" s="160" t="s">
        <v>116</v>
      </c>
      <c r="D56" s="160" t="s">
        <v>92</v>
      </c>
      <c r="E56" s="160"/>
      <c r="F56" s="160"/>
      <c r="G56" s="160"/>
      <c r="H56" s="160"/>
      <c r="I56" s="160"/>
      <c r="J56" s="160"/>
      <c r="K56" s="160"/>
      <c r="L56" s="160"/>
      <c r="M56" s="160"/>
      <c r="N56" s="160"/>
      <c r="O56" s="160"/>
      <c r="P56" s="160"/>
      <c r="Q56" s="160"/>
      <c r="R56" s="160"/>
      <c r="S56" s="160"/>
      <c r="T56" s="160"/>
      <c r="U56" s="160"/>
      <c r="V56" s="160"/>
      <c r="W56" s="160"/>
      <c r="X56" s="21">
        <f t="shared" si="1"/>
        <v>0</v>
      </c>
      <c r="Y56" s="22">
        <f>IF(MSchedule[[#This Row],[Position]] = "Caller", Controls!$H$4, IF(MSchedule[[#This Row],[Position]] = "Trainee", Controls!$H$5, IF(MSchedule[[#This Row],[Position]] = "Lead Trainer", Controls!$H$6, IF(MSchedule[[#This Row],[Position]] = "District Lead", Controls!$H$7, IF(MSchedule[[#This Row],[Position]] = "Zone Leader", Controls!$H$8, "0")))))</f>
        <v>10</v>
      </c>
    </row>
    <row r="57" spans="2:25" ht="15" customHeight="1" x14ac:dyDescent="0.35">
      <c r="B57" s="160" t="s">
        <v>41</v>
      </c>
      <c r="C57" s="160" t="s">
        <v>116</v>
      </c>
      <c r="D57" s="160" t="s">
        <v>122</v>
      </c>
      <c r="E57" s="160"/>
      <c r="F57" s="160"/>
      <c r="G57" s="160"/>
      <c r="H57" s="160"/>
      <c r="I57" s="160"/>
      <c r="J57" s="160"/>
      <c r="K57" s="160"/>
      <c r="L57" s="160"/>
      <c r="M57" s="160"/>
      <c r="N57" s="160"/>
      <c r="O57" s="160"/>
      <c r="P57" s="160"/>
      <c r="Q57" s="160"/>
      <c r="R57" s="160"/>
      <c r="S57" s="160"/>
      <c r="T57" s="160"/>
      <c r="U57" s="160"/>
      <c r="V57" s="160"/>
      <c r="W57" s="160"/>
      <c r="X57" s="21">
        <f t="shared" si="1"/>
        <v>0</v>
      </c>
      <c r="Y57" s="22">
        <f>IF(MSchedule[[#This Row],[Position]] = "Caller", Controls!$H$4, IF(MSchedule[[#This Row],[Position]] = "Trainee", Controls!$H$5, IF(MSchedule[[#This Row],[Position]] = "Lead Trainer", Controls!$H$6, IF(MSchedule[[#This Row],[Position]] = "District Lead", Controls!$H$7, IF(MSchedule[[#This Row],[Position]] = "Zone Leader", Controls!$H$8, "0")))))</f>
        <v>10</v>
      </c>
    </row>
    <row r="58" spans="2:25" ht="15" customHeight="1" x14ac:dyDescent="0.35">
      <c r="B58" s="160" t="s">
        <v>42</v>
      </c>
      <c r="C58" s="160" t="s">
        <v>116</v>
      </c>
      <c r="D58" s="160" t="s">
        <v>88</v>
      </c>
      <c r="E58" s="160"/>
      <c r="F58" s="160"/>
      <c r="G58" s="160"/>
      <c r="H58" s="160"/>
      <c r="I58" s="160"/>
      <c r="J58" s="160"/>
      <c r="K58" s="160"/>
      <c r="L58" s="160"/>
      <c r="M58" s="160"/>
      <c r="N58" s="160"/>
      <c r="O58" s="160"/>
      <c r="P58" s="160"/>
      <c r="Q58" s="160"/>
      <c r="R58" s="160"/>
      <c r="S58" s="160"/>
      <c r="T58" s="160"/>
      <c r="U58" s="160"/>
      <c r="V58" s="160"/>
      <c r="W58" s="160"/>
      <c r="X58" s="21">
        <f t="shared" si="1"/>
        <v>0</v>
      </c>
      <c r="Y58" s="22">
        <f>IF(MSchedule[[#This Row],[Position]] = "Caller", Controls!$H$4, IF(MSchedule[[#This Row],[Position]] = "Trainee", Controls!$H$5, IF(MSchedule[[#This Row],[Position]] = "Lead Trainer", Controls!$H$6, IF(MSchedule[[#This Row],[Position]] = "District Lead", Controls!$H$7, IF(MSchedule[[#This Row],[Position]] = "Zone Leader", Controls!$H$8, "0")))))</f>
        <v>10</v>
      </c>
    </row>
    <row r="59" spans="2:25" ht="15" customHeight="1" x14ac:dyDescent="0.35">
      <c r="B59" s="160" t="s">
        <v>43</v>
      </c>
      <c r="C59" s="160" t="s">
        <v>116</v>
      </c>
      <c r="D59" s="160" t="s">
        <v>91</v>
      </c>
      <c r="E59" s="160"/>
      <c r="F59" s="160"/>
      <c r="G59" s="160"/>
      <c r="H59" s="160"/>
      <c r="I59" s="160"/>
      <c r="J59" s="160"/>
      <c r="K59" s="160"/>
      <c r="L59" s="160"/>
      <c r="M59" s="160"/>
      <c r="N59" s="160"/>
      <c r="O59" s="160"/>
      <c r="P59" s="160"/>
      <c r="Q59" s="160"/>
      <c r="R59" s="160"/>
      <c r="S59" s="160"/>
      <c r="T59" s="160"/>
      <c r="U59" s="160"/>
      <c r="V59" s="160"/>
      <c r="W59" s="160"/>
      <c r="X59" s="21">
        <f t="shared" si="1"/>
        <v>0</v>
      </c>
      <c r="Y59" s="22">
        <f>IF(MSchedule[[#This Row],[Position]] = "Caller", Controls!$H$4, IF(MSchedule[[#This Row],[Position]] = "Trainee", Controls!$H$5, IF(MSchedule[[#This Row],[Position]] = "Lead Trainer", Controls!$H$6, IF(MSchedule[[#This Row],[Position]] = "District Lead", Controls!$H$7, IF(MSchedule[[#This Row],[Position]] = "Zone Leader", Controls!$H$8, "0")))))</f>
        <v>10</v>
      </c>
    </row>
    <row r="60" spans="2:25" ht="15" customHeight="1" x14ac:dyDescent="0.35">
      <c r="B60" s="160" t="s">
        <v>70</v>
      </c>
      <c r="C60" s="160" t="s">
        <v>116</v>
      </c>
      <c r="D60" s="160" t="s">
        <v>92</v>
      </c>
      <c r="E60" s="160"/>
      <c r="F60" s="160"/>
      <c r="G60" s="160"/>
      <c r="H60" s="160"/>
      <c r="I60" s="160"/>
      <c r="J60" s="160"/>
      <c r="K60" s="160"/>
      <c r="L60" s="160"/>
      <c r="M60" s="160"/>
      <c r="N60" s="160"/>
      <c r="O60" s="160"/>
      <c r="P60" s="160"/>
      <c r="Q60" s="160"/>
      <c r="R60" s="160"/>
      <c r="S60" s="160"/>
      <c r="T60" s="160"/>
      <c r="U60" s="160"/>
      <c r="V60" s="160"/>
      <c r="W60" s="160"/>
      <c r="X60" s="21">
        <f t="shared" si="1"/>
        <v>0</v>
      </c>
      <c r="Y60" s="22">
        <f>IF(MSchedule[[#This Row],[Position]] = "Caller", Controls!$H$4, IF(MSchedule[[#This Row],[Position]] = "Trainee", Controls!$H$5, IF(MSchedule[[#This Row],[Position]] = "Lead Trainer", Controls!$H$6, IF(MSchedule[[#This Row],[Position]] = "District Lead", Controls!$H$7, IF(MSchedule[[#This Row],[Position]] = "Zone Leader", Controls!$H$8, "0")))))</f>
        <v>10</v>
      </c>
    </row>
    <row r="61" spans="2:25" ht="15" customHeight="1" x14ac:dyDescent="0.35">
      <c r="B61" s="160" t="s">
        <v>91</v>
      </c>
      <c r="C61" s="160" t="s">
        <v>146</v>
      </c>
      <c r="D61" s="160" t="s">
        <v>85</v>
      </c>
      <c r="E61" s="160"/>
      <c r="F61" s="160"/>
      <c r="G61" s="160"/>
      <c r="H61" s="160"/>
      <c r="I61" s="160"/>
      <c r="J61" s="160"/>
      <c r="K61" s="160"/>
      <c r="L61" s="160"/>
      <c r="M61" s="160"/>
      <c r="N61" s="160"/>
      <c r="O61" s="160"/>
      <c r="P61" s="160"/>
      <c r="Q61" s="160"/>
      <c r="R61" s="160"/>
      <c r="S61" s="160"/>
      <c r="T61" s="160"/>
      <c r="U61" s="160"/>
      <c r="V61" s="160"/>
      <c r="W61" s="160"/>
      <c r="X61" s="21">
        <f t="shared" si="1"/>
        <v>0</v>
      </c>
      <c r="Y61" s="22" t="str">
        <f>IF(MSchedule[[#This Row],[Position]] = "Caller", Controls!$H$4, IF(MSchedule[[#This Row],[Position]] = "Trainee", Controls!$H$5, IF(MSchedule[[#This Row],[Position]] = "Lead Trainer", Controls!$H$6, IF(MSchedule[[#This Row],[Position]] = "District Lead", Controls!$H$7, IF(MSchedule[[#This Row],[Position]] = "Zone Leader", Controls!$H$8, "0")))))</f>
        <v>0</v>
      </c>
    </row>
    <row r="62" spans="2:25" ht="15" customHeight="1" x14ac:dyDescent="0.35">
      <c r="B62" s="160" t="s">
        <v>71</v>
      </c>
      <c r="C62" s="160" t="s">
        <v>116</v>
      </c>
      <c r="D62" s="160" t="s">
        <v>91</v>
      </c>
      <c r="E62" s="160"/>
      <c r="F62" s="160"/>
      <c r="G62" s="160"/>
      <c r="H62" s="160"/>
      <c r="I62" s="160"/>
      <c r="J62" s="160"/>
      <c r="K62" s="160"/>
      <c r="L62" s="160"/>
      <c r="M62" s="160"/>
      <c r="N62" s="160"/>
      <c r="O62" s="160"/>
      <c r="P62" s="160"/>
      <c r="Q62" s="160"/>
      <c r="R62" s="160"/>
      <c r="S62" s="160"/>
      <c r="T62" s="160"/>
      <c r="U62" s="160"/>
      <c r="V62" s="160"/>
      <c r="W62" s="160"/>
      <c r="X62" s="21">
        <f t="shared" si="1"/>
        <v>0</v>
      </c>
      <c r="Y62" s="22">
        <f>IF(MSchedule[[#This Row],[Position]] = "Caller", Controls!$H$4, IF(MSchedule[[#This Row],[Position]] = "Trainee", Controls!$H$5, IF(MSchedule[[#This Row],[Position]] = "Lead Trainer", Controls!$H$6, IF(MSchedule[[#This Row],[Position]] = "District Lead", Controls!$H$7, IF(MSchedule[[#This Row],[Position]] = "Zone Leader", Controls!$H$8, "0")))))</f>
        <v>10</v>
      </c>
    </row>
    <row r="63" spans="2:25" ht="15" customHeight="1" x14ac:dyDescent="0.35">
      <c r="B63" s="160" t="s">
        <v>44</v>
      </c>
      <c r="C63" s="160" t="s">
        <v>116</v>
      </c>
      <c r="D63" s="160" t="s">
        <v>94</v>
      </c>
      <c r="E63" s="160"/>
      <c r="F63" s="160"/>
      <c r="G63" s="160"/>
      <c r="H63" s="160"/>
      <c r="I63" s="160"/>
      <c r="J63" s="160"/>
      <c r="K63" s="160"/>
      <c r="L63" s="160"/>
      <c r="M63" s="160"/>
      <c r="N63" s="160"/>
      <c r="O63" s="160"/>
      <c r="P63" s="160"/>
      <c r="Q63" s="160"/>
      <c r="R63" s="160"/>
      <c r="S63" s="160"/>
      <c r="T63" s="160"/>
      <c r="U63" s="160"/>
      <c r="V63" s="160"/>
      <c r="W63" s="160"/>
      <c r="X63" s="21">
        <f t="shared" si="1"/>
        <v>0</v>
      </c>
      <c r="Y63" s="22">
        <f>IF(MSchedule[[#This Row],[Position]] = "Caller", Controls!$H$4, IF(MSchedule[[#This Row],[Position]] = "Trainee", Controls!$H$5, IF(MSchedule[[#This Row],[Position]] = "Lead Trainer", Controls!$H$6, IF(MSchedule[[#This Row],[Position]] = "District Lead", Controls!$H$7, IF(MSchedule[[#This Row],[Position]] = "Zone Leader", Controls!$H$8, "0")))))</f>
        <v>10</v>
      </c>
    </row>
    <row r="64" spans="2:25" ht="15" customHeight="1" x14ac:dyDescent="0.35">
      <c r="B64" s="160" t="s">
        <v>45</v>
      </c>
      <c r="C64" s="160" t="s">
        <v>116</v>
      </c>
      <c r="D64" s="160" t="s">
        <v>92</v>
      </c>
      <c r="E64" s="160"/>
      <c r="F64" s="160"/>
      <c r="G64" s="160"/>
      <c r="H64" s="160"/>
      <c r="I64" s="160"/>
      <c r="J64" s="160"/>
      <c r="K64" s="160"/>
      <c r="L64" s="160"/>
      <c r="M64" s="160"/>
      <c r="N64" s="160"/>
      <c r="O64" s="160"/>
      <c r="P64" s="160"/>
      <c r="Q64" s="160"/>
      <c r="R64" s="160"/>
      <c r="S64" s="160"/>
      <c r="T64" s="160"/>
      <c r="U64" s="160"/>
      <c r="V64" s="160"/>
      <c r="W64" s="160"/>
      <c r="X64" s="21">
        <f t="shared" si="1"/>
        <v>0</v>
      </c>
      <c r="Y64" s="22">
        <f>IF(MSchedule[[#This Row],[Position]] = "Caller", Controls!$H$4, IF(MSchedule[[#This Row],[Position]] = "Trainee", Controls!$H$5, IF(MSchedule[[#This Row],[Position]] = "Lead Trainer", Controls!$H$6, IF(MSchedule[[#This Row],[Position]] = "District Lead", Controls!$H$7, IF(MSchedule[[#This Row],[Position]] = "Zone Leader", Controls!$H$8, "0")))))</f>
        <v>10</v>
      </c>
    </row>
    <row r="65" spans="2:25" ht="15" customHeight="1" x14ac:dyDescent="0.35">
      <c r="B65" s="160" t="s">
        <v>46</v>
      </c>
      <c r="C65" s="160" t="s">
        <v>116</v>
      </c>
      <c r="D65" s="160" t="s">
        <v>94</v>
      </c>
      <c r="E65" s="160"/>
      <c r="F65" s="160"/>
      <c r="G65" s="160"/>
      <c r="H65" s="160"/>
      <c r="I65" s="160"/>
      <c r="J65" s="160"/>
      <c r="K65" s="160"/>
      <c r="L65" s="160"/>
      <c r="M65" s="160"/>
      <c r="N65" s="160"/>
      <c r="O65" s="160"/>
      <c r="P65" s="160"/>
      <c r="Q65" s="160"/>
      <c r="R65" s="160"/>
      <c r="S65" s="160"/>
      <c r="T65" s="160"/>
      <c r="U65" s="160"/>
      <c r="V65" s="160"/>
      <c r="W65" s="160"/>
      <c r="X65" s="21">
        <f t="shared" si="1"/>
        <v>0</v>
      </c>
      <c r="Y65" s="22">
        <f>IF(MSchedule[[#This Row],[Position]] = "Caller", Controls!$H$4, IF(MSchedule[[#This Row],[Position]] = "Trainee", Controls!$H$5, IF(MSchedule[[#This Row],[Position]] = "Lead Trainer", Controls!$H$6, IF(MSchedule[[#This Row],[Position]] = "District Lead", Controls!$H$7, IF(MSchedule[[#This Row],[Position]] = "Zone Leader", Controls!$H$8, "0")))))</f>
        <v>10</v>
      </c>
    </row>
    <row r="66" spans="2:25" ht="15" customHeight="1" x14ac:dyDescent="0.35">
      <c r="B66" s="160" t="s">
        <v>92</v>
      </c>
      <c r="C66" s="160" t="s">
        <v>146</v>
      </c>
      <c r="D66" s="160" t="s">
        <v>87</v>
      </c>
      <c r="E66" s="160"/>
      <c r="F66" s="160"/>
      <c r="G66" s="160"/>
      <c r="H66" s="160"/>
      <c r="I66" s="160"/>
      <c r="J66" s="160"/>
      <c r="K66" s="160"/>
      <c r="L66" s="160"/>
      <c r="M66" s="160"/>
      <c r="N66" s="160"/>
      <c r="O66" s="160"/>
      <c r="P66" s="160"/>
      <c r="Q66" s="160"/>
      <c r="R66" s="160"/>
      <c r="S66" s="160"/>
      <c r="T66" s="160"/>
      <c r="U66" s="160"/>
      <c r="V66" s="160"/>
      <c r="W66" s="160"/>
      <c r="X66" s="21">
        <f t="shared" si="1"/>
        <v>0</v>
      </c>
      <c r="Y66" s="22" t="str">
        <f>IF(MSchedule[[#This Row],[Position]] = "Caller", Controls!$H$4, IF(MSchedule[[#This Row],[Position]] = "Trainee", Controls!$H$5, IF(MSchedule[[#This Row],[Position]] = "Lead Trainer", Controls!$H$6, IF(MSchedule[[#This Row],[Position]] = "District Lead", Controls!$H$7, IF(MSchedule[[#This Row],[Position]] = "Zone Leader", Controls!$H$8, "0")))))</f>
        <v>0</v>
      </c>
    </row>
    <row r="67" spans="2:25" ht="15" customHeight="1" x14ac:dyDescent="0.35">
      <c r="B67" s="160" t="s">
        <v>72</v>
      </c>
      <c r="C67" s="160" t="s">
        <v>116</v>
      </c>
      <c r="D67" s="160" t="s">
        <v>84</v>
      </c>
      <c r="E67" s="160"/>
      <c r="F67" s="160"/>
      <c r="G67" s="160"/>
      <c r="H67" s="160"/>
      <c r="I67" s="160"/>
      <c r="J67" s="160"/>
      <c r="K67" s="160"/>
      <c r="L67" s="160"/>
      <c r="M67" s="160"/>
      <c r="N67" s="160"/>
      <c r="O67" s="160"/>
      <c r="P67" s="160"/>
      <c r="Q67" s="160"/>
      <c r="R67" s="160"/>
      <c r="S67" s="160"/>
      <c r="T67" s="160"/>
      <c r="U67" s="160"/>
      <c r="V67" s="160"/>
      <c r="W67" s="160"/>
      <c r="X67" s="21">
        <f t="shared" si="1"/>
        <v>0</v>
      </c>
      <c r="Y67" s="22">
        <f>IF(MSchedule[[#This Row],[Position]] = "Caller", Controls!$H$4, IF(MSchedule[[#This Row],[Position]] = "Trainee", Controls!$H$5, IF(MSchedule[[#This Row],[Position]] = "Lead Trainer", Controls!$H$6, IF(MSchedule[[#This Row],[Position]] = "District Lead", Controls!$H$7, IF(MSchedule[[#This Row],[Position]] = "Zone Leader", Controls!$H$8, "0")))))</f>
        <v>10</v>
      </c>
    </row>
    <row r="68" spans="2:25" ht="15" customHeight="1" x14ac:dyDescent="0.35">
      <c r="B68" s="160" t="s">
        <v>47</v>
      </c>
      <c r="C68" s="160" t="s">
        <v>116</v>
      </c>
      <c r="D68" s="160" t="s">
        <v>88</v>
      </c>
      <c r="E68" s="160"/>
      <c r="F68" s="160"/>
      <c r="G68" s="160"/>
      <c r="H68" s="160"/>
      <c r="I68" s="160"/>
      <c r="J68" s="160"/>
      <c r="K68" s="160"/>
      <c r="L68" s="160"/>
      <c r="M68" s="160"/>
      <c r="N68" s="160"/>
      <c r="O68" s="160"/>
      <c r="P68" s="160"/>
      <c r="Q68" s="160"/>
      <c r="R68" s="160"/>
      <c r="S68" s="160"/>
      <c r="T68" s="160"/>
      <c r="U68" s="160"/>
      <c r="V68" s="160"/>
      <c r="W68" s="160"/>
      <c r="X68" s="21">
        <f t="shared" si="1"/>
        <v>0</v>
      </c>
      <c r="Y68" s="22">
        <f>IF(MSchedule[[#This Row],[Position]] = "Caller", Controls!$H$4, IF(MSchedule[[#This Row],[Position]] = "Trainee", Controls!$H$5, IF(MSchedule[[#This Row],[Position]] = "Lead Trainer", Controls!$H$6, IF(MSchedule[[#This Row],[Position]] = "District Lead", Controls!$H$7, IF(MSchedule[[#This Row],[Position]] = "Zone Leader", Controls!$H$8, "0")))))</f>
        <v>10</v>
      </c>
    </row>
    <row r="69" spans="2:25" ht="15" customHeight="1" x14ac:dyDescent="0.35">
      <c r="B69" s="160" t="s">
        <v>48</v>
      </c>
      <c r="C69" s="160" t="s">
        <v>116</v>
      </c>
      <c r="D69" s="160" t="s">
        <v>89</v>
      </c>
      <c r="E69" s="160"/>
      <c r="F69" s="160"/>
      <c r="G69" s="160"/>
      <c r="H69" s="160"/>
      <c r="I69" s="160"/>
      <c r="J69" s="160"/>
      <c r="K69" s="160"/>
      <c r="L69" s="160"/>
      <c r="M69" s="160"/>
      <c r="N69" s="160"/>
      <c r="O69" s="160"/>
      <c r="P69" s="160"/>
      <c r="Q69" s="160"/>
      <c r="R69" s="160"/>
      <c r="S69" s="160"/>
      <c r="T69" s="160"/>
      <c r="U69" s="160"/>
      <c r="V69" s="160"/>
      <c r="W69" s="160"/>
      <c r="X69" s="21">
        <f t="shared" si="1"/>
        <v>0</v>
      </c>
      <c r="Y69" s="22">
        <f>IF(MSchedule[[#This Row],[Position]] = "Caller", Controls!$H$4, IF(MSchedule[[#This Row],[Position]] = "Trainee", Controls!$H$5, IF(MSchedule[[#This Row],[Position]] = "Lead Trainer", Controls!$H$6, IF(MSchedule[[#This Row],[Position]] = "District Lead", Controls!$H$7, IF(MSchedule[[#This Row],[Position]] = "Zone Leader", Controls!$H$8, "0")))))</f>
        <v>10</v>
      </c>
    </row>
    <row r="70" spans="2:25" ht="15" customHeight="1" x14ac:dyDescent="0.35">
      <c r="B70" s="160" t="s">
        <v>49</v>
      </c>
      <c r="C70" s="160" t="s">
        <v>116</v>
      </c>
      <c r="D70" s="160" t="s">
        <v>94</v>
      </c>
      <c r="E70" s="160"/>
      <c r="F70" s="160"/>
      <c r="G70" s="160"/>
      <c r="H70" s="160"/>
      <c r="I70" s="160"/>
      <c r="J70" s="160"/>
      <c r="K70" s="160"/>
      <c r="L70" s="160"/>
      <c r="M70" s="160"/>
      <c r="N70" s="160"/>
      <c r="O70" s="160"/>
      <c r="P70" s="160"/>
      <c r="Q70" s="160"/>
      <c r="R70" s="160"/>
      <c r="S70" s="160"/>
      <c r="T70" s="160"/>
      <c r="U70" s="160"/>
      <c r="V70" s="160"/>
      <c r="W70" s="160"/>
      <c r="X70" s="21">
        <f t="shared" ref="X70:X82" si="2">COUNTA(E70:G70,I70:K70,M70:O70,Q70:S70,U70:V70,W70)*2 + COUNTA(H70,L70,P70,T70)</f>
        <v>0</v>
      </c>
      <c r="Y70" s="22">
        <f>IF(MSchedule[[#This Row],[Position]] = "Caller", Controls!$H$4, IF(MSchedule[[#This Row],[Position]] = "Trainee", Controls!$H$5, IF(MSchedule[[#This Row],[Position]] = "Lead Trainer", Controls!$H$6, IF(MSchedule[[#This Row],[Position]] = "District Lead", Controls!$H$7, IF(MSchedule[[#This Row],[Position]] = "Zone Leader", Controls!$H$8, "0")))))</f>
        <v>10</v>
      </c>
    </row>
    <row r="71" spans="2:25" ht="15" customHeight="1" x14ac:dyDescent="0.35">
      <c r="B71" s="160" t="s">
        <v>73</v>
      </c>
      <c r="C71" s="160" t="s">
        <v>116</v>
      </c>
      <c r="D71" s="160" t="s">
        <v>84</v>
      </c>
      <c r="E71" s="160"/>
      <c r="F71" s="160"/>
      <c r="G71" s="160"/>
      <c r="H71" s="160"/>
      <c r="I71" s="160"/>
      <c r="J71" s="160"/>
      <c r="K71" s="160"/>
      <c r="L71" s="160"/>
      <c r="M71" s="160"/>
      <c r="N71" s="160"/>
      <c r="O71" s="160"/>
      <c r="P71" s="160"/>
      <c r="Q71" s="160"/>
      <c r="R71" s="160"/>
      <c r="S71" s="160"/>
      <c r="T71" s="160"/>
      <c r="U71" s="160"/>
      <c r="V71" s="160"/>
      <c r="W71" s="160"/>
      <c r="X71" s="21">
        <f t="shared" si="2"/>
        <v>0</v>
      </c>
      <c r="Y71" s="22">
        <f>IF(MSchedule[[#This Row],[Position]] = "Caller", Controls!$H$4, IF(MSchedule[[#This Row],[Position]] = "Trainee", Controls!$H$5, IF(MSchedule[[#This Row],[Position]] = "Lead Trainer", Controls!$H$6, IF(MSchedule[[#This Row],[Position]] = "District Lead", Controls!$H$7, IF(MSchedule[[#This Row],[Position]] = "Zone Leader", Controls!$H$8, "0")))))</f>
        <v>10</v>
      </c>
    </row>
    <row r="72" spans="2:25" ht="15" customHeight="1" x14ac:dyDescent="0.35">
      <c r="B72" s="160" t="s">
        <v>51</v>
      </c>
      <c r="C72" s="160" t="s">
        <v>116</v>
      </c>
      <c r="D72" s="160" t="s">
        <v>91</v>
      </c>
      <c r="E72" s="160"/>
      <c r="F72" s="160"/>
      <c r="G72" s="160"/>
      <c r="H72" s="160"/>
      <c r="I72" s="160"/>
      <c r="J72" s="160"/>
      <c r="K72" s="160"/>
      <c r="L72" s="160"/>
      <c r="M72" s="160"/>
      <c r="N72" s="160"/>
      <c r="O72" s="160"/>
      <c r="P72" s="160"/>
      <c r="Q72" s="160"/>
      <c r="R72" s="160"/>
      <c r="S72" s="160"/>
      <c r="T72" s="160"/>
      <c r="U72" s="160"/>
      <c r="V72" s="160"/>
      <c r="W72" s="160"/>
      <c r="X72" s="21">
        <f t="shared" si="2"/>
        <v>0</v>
      </c>
      <c r="Y72" s="22">
        <f>IF(MSchedule[[#This Row],[Position]] = "Caller", Controls!$H$4, IF(MSchedule[[#This Row],[Position]] = "Trainee", Controls!$H$5, IF(MSchedule[[#This Row],[Position]] = "Lead Trainer", Controls!$H$6, IF(MSchedule[[#This Row],[Position]] = "District Lead", Controls!$H$7, IF(MSchedule[[#This Row],[Position]] = "Zone Leader", Controls!$H$8, "0")))))</f>
        <v>10</v>
      </c>
    </row>
    <row r="73" spans="2:25" ht="15" customHeight="1" x14ac:dyDescent="0.35">
      <c r="B73" s="160" t="s">
        <v>52</v>
      </c>
      <c r="C73" s="160" t="s">
        <v>116</v>
      </c>
      <c r="D73" s="160" t="s">
        <v>122</v>
      </c>
      <c r="E73" s="160"/>
      <c r="F73" s="160"/>
      <c r="G73" s="160"/>
      <c r="H73" s="160"/>
      <c r="I73" s="160"/>
      <c r="J73" s="160"/>
      <c r="K73" s="160"/>
      <c r="L73" s="160"/>
      <c r="M73" s="160"/>
      <c r="N73" s="160"/>
      <c r="O73" s="160"/>
      <c r="P73" s="160"/>
      <c r="Q73" s="160"/>
      <c r="R73" s="160"/>
      <c r="S73" s="160"/>
      <c r="T73" s="160"/>
      <c r="U73" s="160"/>
      <c r="V73" s="160"/>
      <c r="W73" s="160"/>
      <c r="X73" s="21">
        <f t="shared" si="2"/>
        <v>0</v>
      </c>
      <c r="Y73" s="22">
        <f>IF(MSchedule[[#This Row],[Position]] = "Caller", Controls!$H$4, IF(MSchedule[[#This Row],[Position]] = "Trainee", Controls!$H$5, IF(MSchedule[[#This Row],[Position]] = "Lead Trainer", Controls!$H$6, IF(MSchedule[[#This Row],[Position]] = "District Lead", Controls!$H$7, IF(MSchedule[[#This Row],[Position]] = "Zone Leader", Controls!$H$8, "0")))))</f>
        <v>10</v>
      </c>
    </row>
    <row r="74" spans="2:25" ht="15" customHeight="1" x14ac:dyDescent="0.35">
      <c r="B74" s="160" t="s">
        <v>93</v>
      </c>
      <c r="C74" s="160" t="s">
        <v>120</v>
      </c>
      <c r="D74" s="160" t="s">
        <v>120</v>
      </c>
      <c r="E74" s="160"/>
      <c r="F74" s="160"/>
      <c r="G74" s="160"/>
      <c r="H74" s="160"/>
      <c r="I74" s="160"/>
      <c r="J74" s="160"/>
      <c r="K74" s="160"/>
      <c r="L74" s="160"/>
      <c r="M74" s="160"/>
      <c r="N74" s="160"/>
      <c r="O74" s="160"/>
      <c r="P74" s="160"/>
      <c r="Q74" s="160"/>
      <c r="R74" s="160"/>
      <c r="S74" s="160"/>
      <c r="T74" s="160"/>
      <c r="U74" s="160"/>
      <c r="V74" s="160"/>
      <c r="W74" s="160"/>
      <c r="X74" s="21">
        <f t="shared" si="2"/>
        <v>0</v>
      </c>
      <c r="Y74" s="22">
        <f>IF(MSchedule[[#This Row],[Position]] = "Caller", Controls!$H$4, IF(MSchedule[[#This Row],[Position]] = "Trainee", Controls!$H$5, IF(MSchedule[[#This Row],[Position]] = "Lead Trainer", Controls!$H$6, IF(MSchedule[[#This Row],[Position]] = "District Lead", Controls!$H$7, IF(MSchedule[[#This Row],[Position]] = "Zone Leader", Controls!$H$8, "0")))))</f>
        <v>14</v>
      </c>
    </row>
    <row r="75" spans="2:25" ht="15" customHeight="1" x14ac:dyDescent="0.35">
      <c r="B75" s="160" t="s">
        <v>94</v>
      </c>
      <c r="C75" s="160" t="s">
        <v>146</v>
      </c>
      <c r="D75" s="160" t="s">
        <v>93</v>
      </c>
      <c r="E75" s="160"/>
      <c r="F75" s="160"/>
      <c r="G75" s="160"/>
      <c r="H75" s="160"/>
      <c r="I75" s="160"/>
      <c r="J75" s="160" t="s">
        <v>17</v>
      </c>
      <c r="K75" s="160" t="s">
        <v>17</v>
      </c>
      <c r="L75" s="160" t="s">
        <v>17</v>
      </c>
      <c r="M75" s="160"/>
      <c r="N75" s="160" t="s">
        <v>17</v>
      </c>
      <c r="O75" s="160" t="s">
        <v>17</v>
      </c>
      <c r="P75" s="160" t="s">
        <v>17</v>
      </c>
      <c r="Q75" s="160"/>
      <c r="R75" s="160"/>
      <c r="S75" s="160"/>
      <c r="T75" s="160"/>
      <c r="U75" s="160"/>
      <c r="V75" s="160"/>
      <c r="W75" s="160"/>
      <c r="X75" s="21">
        <f t="shared" si="2"/>
        <v>10</v>
      </c>
      <c r="Y75" s="22" t="str">
        <f>IF(MSchedule[[#This Row],[Position]] = "Caller", Controls!$H$4, IF(MSchedule[[#This Row],[Position]] = "Trainee", Controls!$H$5, IF(MSchedule[[#This Row],[Position]] = "Lead Trainer", Controls!$H$6, IF(MSchedule[[#This Row],[Position]] = "District Lead", Controls!$H$7, IF(MSchedule[[#This Row],[Position]] = "Zone Leader", Controls!$H$8, "0")))))</f>
        <v>0</v>
      </c>
    </row>
    <row r="76" spans="2:25" ht="15" customHeight="1" x14ac:dyDescent="0.35">
      <c r="B76" s="160" t="s">
        <v>74</v>
      </c>
      <c r="C76" s="160" t="s">
        <v>116</v>
      </c>
      <c r="D76" s="160" t="s">
        <v>94</v>
      </c>
      <c r="E76" s="160"/>
      <c r="F76" s="160"/>
      <c r="G76" s="160"/>
      <c r="H76" s="160"/>
      <c r="I76" s="160"/>
      <c r="J76" s="160"/>
      <c r="K76" s="160"/>
      <c r="L76" s="160"/>
      <c r="M76" s="160"/>
      <c r="N76" s="160"/>
      <c r="O76" s="160"/>
      <c r="P76" s="160"/>
      <c r="Q76" s="160"/>
      <c r="R76" s="160"/>
      <c r="S76" s="160"/>
      <c r="T76" s="160"/>
      <c r="U76" s="160"/>
      <c r="V76" s="160"/>
      <c r="W76" s="160"/>
      <c r="X76" s="21">
        <f t="shared" si="2"/>
        <v>0</v>
      </c>
      <c r="Y76" s="22">
        <f>IF(MSchedule[[#This Row],[Position]] = "Caller", Controls!$H$4, IF(MSchedule[[#This Row],[Position]] = "Trainee", Controls!$H$5, IF(MSchedule[[#This Row],[Position]] = "Lead Trainer", Controls!$H$6, IF(MSchedule[[#This Row],[Position]] = "District Lead", Controls!$H$7, IF(MSchedule[[#This Row],[Position]] = "Zone Leader", Controls!$H$8, "0")))))</f>
        <v>10</v>
      </c>
    </row>
    <row r="77" spans="2:25" ht="15" customHeight="1" x14ac:dyDescent="0.35">
      <c r="B77" s="160" t="s">
        <v>53</v>
      </c>
      <c r="C77" s="160" t="s">
        <v>116</v>
      </c>
      <c r="D77" s="160" t="s">
        <v>91</v>
      </c>
      <c r="E77" s="160"/>
      <c r="F77" s="160"/>
      <c r="G77" s="160"/>
      <c r="H77" s="160"/>
      <c r="I77" s="160"/>
      <c r="J77" s="160"/>
      <c r="K77" s="160"/>
      <c r="L77" s="160"/>
      <c r="M77" s="160"/>
      <c r="N77" s="160"/>
      <c r="O77" s="160"/>
      <c r="P77" s="160"/>
      <c r="Q77" s="160"/>
      <c r="R77" s="160"/>
      <c r="S77" s="160"/>
      <c r="T77" s="160"/>
      <c r="U77" s="160"/>
      <c r="V77" s="160"/>
      <c r="W77" s="160"/>
      <c r="X77" s="21">
        <f t="shared" si="2"/>
        <v>0</v>
      </c>
      <c r="Y77" s="22">
        <f>IF(MSchedule[[#This Row],[Position]] = "Caller", Controls!$H$4, IF(MSchedule[[#This Row],[Position]] = "Trainee", Controls!$H$5, IF(MSchedule[[#This Row],[Position]] = "Lead Trainer", Controls!$H$6, IF(MSchedule[[#This Row],[Position]] = "District Lead", Controls!$H$7, IF(MSchedule[[#This Row],[Position]] = "Zone Leader", Controls!$H$8, "0")))))</f>
        <v>10</v>
      </c>
    </row>
    <row r="78" spans="2:25" ht="15" customHeight="1" x14ac:dyDescent="0.35">
      <c r="B78" s="160" t="s">
        <v>75</v>
      </c>
      <c r="C78" s="160" t="s">
        <v>116</v>
      </c>
      <c r="D78" s="160" t="s">
        <v>89</v>
      </c>
      <c r="E78" s="160"/>
      <c r="F78" s="160"/>
      <c r="G78" s="160"/>
      <c r="H78" s="160"/>
      <c r="I78" s="160"/>
      <c r="J78" s="160" t="s">
        <v>17</v>
      </c>
      <c r="K78" s="160" t="s">
        <v>17</v>
      </c>
      <c r="L78" s="160" t="s">
        <v>17</v>
      </c>
      <c r="M78" s="160"/>
      <c r="N78" s="160" t="s">
        <v>17</v>
      </c>
      <c r="O78" s="160" t="s">
        <v>17</v>
      </c>
      <c r="P78" s="160"/>
      <c r="Q78" s="160"/>
      <c r="R78" s="160"/>
      <c r="S78" s="160"/>
      <c r="T78" s="160"/>
      <c r="U78" s="160"/>
      <c r="V78" s="160"/>
      <c r="W78" s="160"/>
      <c r="X78" s="21">
        <f t="shared" si="2"/>
        <v>9</v>
      </c>
      <c r="Y78" s="22">
        <f>IF(MSchedule[[#This Row],[Position]] = "Caller", Controls!$H$4, IF(MSchedule[[#This Row],[Position]] = "Trainee", Controls!$H$5, IF(MSchedule[[#This Row],[Position]] = "Lead Trainer", Controls!$H$6, IF(MSchedule[[#This Row],[Position]] = "District Lead", Controls!$H$7, IF(MSchedule[[#This Row],[Position]] = "Zone Leader", Controls!$H$8, "0")))))</f>
        <v>10</v>
      </c>
    </row>
    <row r="79" spans="2:25" ht="15" customHeight="1" x14ac:dyDescent="0.35">
      <c r="B79" s="160" t="s">
        <v>76</v>
      </c>
      <c r="C79" s="160" t="s">
        <v>116</v>
      </c>
      <c r="D79" s="160" t="s">
        <v>82</v>
      </c>
      <c r="E79" s="160"/>
      <c r="F79" s="160"/>
      <c r="G79" s="160"/>
      <c r="H79" s="160"/>
      <c r="I79" s="160"/>
      <c r="J79" s="160" t="s">
        <v>17</v>
      </c>
      <c r="K79" s="160"/>
      <c r="L79" s="160" t="s">
        <v>17</v>
      </c>
      <c r="M79" s="160"/>
      <c r="N79" s="160" t="s">
        <v>17</v>
      </c>
      <c r="O79" s="160" t="s">
        <v>17</v>
      </c>
      <c r="P79" s="160"/>
      <c r="Q79" s="160"/>
      <c r="R79" s="160"/>
      <c r="S79" s="160"/>
      <c r="T79" s="160"/>
      <c r="U79" s="160"/>
      <c r="V79" s="160" t="s">
        <v>17</v>
      </c>
      <c r="W79" s="160" t="s">
        <v>17</v>
      </c>
      <c r="X79" s="21">
        <f t="shared" si="2"/>
        <v>11</v>
      </c>
      <c r="Y79" s="22">
        <f>IF(MSchedule[[#This Row],[Position]] = "Caller", Controls!$H$4, IF(MSchedule[[#This Row],[Position]] = "Trainee", Controls!$H$5, IF(MSchedule[[#This Row],[Position]] = "Lead Trainer", Controls!$H$6, IF(MSchedule[[#This Row],[Position]] = "District Lead", Controls!$H$7, IF(MSchedule[[#This Row],[Position]] = "Zone Leader", Controls!$H$8, "0")))))</f>
        <v>10</v>
      </c>
    </row>
    <row r="80" spans="2:25" ht="15" customHeight="1" x14ac:dyDescent="0.35">
      <c r="B80" s="160" t="s">
        <v>54</v>
      </c>
      <c r="C80" s="160" t="s">
        <v>116</v>
      </c>
      <c r="D80" s="160" t="s">
        <v>84</v>
      </c>
      <c r="E80" s="160"/>
      <c r="F80" s="160"/>
      <c r="G80" s="160"/>
      <c r="H80" s="160"/>
      <c r="I80" s="160"/>
      <c r="J80" s="160"/>
      <c r="K80" s="160"/>
      <c r="L80" s="160"/>
      <c r="M80" s="160"/>
      <c r="N80" s="160"/>
      <c r="O80" s="160"/>
      <c r="P80" s="160"/>
      <c r="Q80" s="160"/>
      <c r="R80" s="160"/>
      <c r="S80" s="160"/>
      <c r="T80" s="160"/>
      <c r="U80" s="160"/>
      <c r="V80" s="160"/>
      <c r="W80" s="160"/>
      <c r="X80" s="21">
        <f t="shared" si="2"/>
        <v>0</v>
      </c>
      <c r="Y80" s="22">
        <f>IF(MSchedule[[#This Row],[Position]] = "Caller", Controls!$H$4, IF(MSchedule[[#This Row],[Position]] = "Trainee", Controls!$H$5, IF(MSchedule[[#This Row],[Position]] = "Lead Trainer", Controls!$H$6, IF(MSchedule[[#This Row],[Position]] = "District Lead", Controls!$H$7, IF(MSchedule[[#This Row],[Position]] = "Zone Leader", Controls!$H$8, "0")))))</f>
        <v>10</v>
      </c>
    </row>
    <row r="81" spans="2:26" ht="15" customHeight="1" x14ac:dyDescent="0.35">
      <c r="B81" s="160" t="s">
        <v>55</v>
      </c>
      <c r="C81" s="160" t="s">
        <v>116</v>
      </c>
      <c r="D81" s="160" t="s">
        <v>81</v>
      </c>
      <c r="E81" s="160"/>
      <c r="F81" s="160"/>
      <c r="G81" s="160"/>
      <c r="H81" s="160"/>
      <c r="I81" s="160"/>
      <c r="J81" s="160"/>
      <c r="K81" s="160"/>
      <c r="L81" s="160"/>
      <c r="M81" s="160"/>
      <c r="N81" s="160"/>
      <c r="O81" s="160"/>
      <c r="P81" s="160"/>
      <c r="Q81" s="160"/>
      <c r="R81" s="160"/>
      <c r="S81" s="160"/>
      <c r="T81" s="160"/>
      <c r="U81" s="160"/>
      <c r="V81" s="160"/>
      <c r="W81" s="160"/>
      <c r="X81" s="21">
        <f t="shared" si="2"/>
        <v>0</v>
      </c>
      <c r="Y81" s="22">
        <f>IF(MSchedule[[#This Row],[Position]] = "Caller", Controls!$H$4, IF(MSchedule[[#This Row],[Position]] = "Trainee", Controls!$H$5, IF(MSchedule[[#This Row],[Position]] = "Lead Trainer", Controls!$H$6, IF(MSchedule[[#This Row],[Position]] = "District Lead", Controls!$H$7, IF(MSchedule[[#This Row],[Position]] = "Zone Leader", Controls!$H$8, "0")))))</f>
        <v>10</v>
      </c>
    </row>
    <row r="82" spans="2:26" ht="15" customHeight="1" x14ac:dyDescent="0.35">
      <c r="B82" s="160" t="s">
        <v>56</v>
      </c>
      <c r="C82" s="160" t="s">
        <v>116</v>
      </c>
      <c r="D82" s="160" t="s">
        <v>92</v>
      </c>
      <c r="E82" s="160"/>
      <c r="F82" s="160"/>
      <c r="G82" s="160"/>
      <c r="H82" s="160"/>
      <c r="I82" s="160"/>
      <c r="J82" s="160"/>
      <c r="K82" s="160"/>
      <c r="L82" s="160"/>
      <c r="M82" s="160"/>
      <c r="N82" s="160"/>
      <c r="O82" s="160"/>
      <c r="P82" s="160"/>
      <c r="Q82" s="160"/>
      <c r="R82" s="160"/>
      <c r="S82" s="160"/>
      <c r="T82" s="160"/>
      <c r="U82" s="160"/>
      <c r="V82" s="160"/>
      <c r="W82" s="160"/>
      <c r="X82" s="21">
        <f t="shared" si="2"/>
        <v>0</v>
      </c>
      <c r="Y82" s="22">
        <f>IF(MSchedule[[#This Row],[Position]] = "Caller", Controls!$H$4, IF(MSchedule[[#This Row],[Position]] = "Trainee", Controls!$H$5, IF(MSchedule[[#This Row],[Position]] = "Lead Trainer", Controls!$H$6, IF(MSchedule[[#This Row],[Position]] = "District Lead", Controls!$H$7, IF(MSchedule[[#This Row],[Position]] = "Zone Leader", Controls!$H$8, "0")))))</f>
        <v>10</v>
      </c>
    </row>
    <row r="83" spans="2:26" ht="15" customHeight="1" x14ac:dyDescent="0.35">
      <c r="B83" s="31">
        <f>SUBTOTAL(103,MSchedule[Student Employee])</f>
        <v>77</v>
      </c>
      <c r="C83" s="31"/>
      <c r="D83" s="31"/>
      <c r="E83" s="31"/>
      <c r="F83" s="31"/>
      <c r="G83" s="31"/>
      <c r="H83" s="31"/>
      <c r="I83" s="31"/>
      <c r="J83" s="31"/>
      <c r="K83" s="31"/>
      <c r="L83" s="31"/>
      <c r="M83" s="31"/>
      <c r="N83" s="31"/>
      <c r="O83" s="31"/>
      <c r="P83" s="31"/>
      <c r="Q83" s="31"/>
      <c r="R83" s="31"/>
      <c r="S83" s="31"/>
      <c r="T83" s="31"/>
      <c r="U83" s="31"/>
      <c r="V83" s="31"/>
      <c r="W83" s="31"/>
      <c r="X83" s="32">
        <f>SUBTOTAL(109,MSchedule[Signed])</f>
        <v>123</v>
      </c>
      <c r="Y83" s="32">
        <f>SUBTOTAL(109,MSchedule[Required])</f>
        <v>670</v>
      </c>
      <c r="Z83" s="33"/>
    </row>
  </sheetData>
  <sheetProtection sort="0" autoFilter="0" pivotTables="0"/>
  <mergeCells count="13">
    <mergeCell ref="AB11:AD11"/>
    <mergeCell ref="AC8:AD10"/>
    <mergeCell ref="AC5:AD7"/>
    <mergeCell ref="B2:D3"/>
    <mergeCell ref="X3:X4"/>
    <mergeCell ref="Y3:Y4"/>
    <mergeCell ref="B4:D4"/>
    <mergeCell ref="Z2:Z4"/>
    <mergeCell ref="E2:H2"/>
    <mergeCell ref="I2:L2"/>
    <mergeCell ref="M2:P2"/>
    <mergeCell ref="Q2:T2"/>
    <mergeCell ref="U2:W2"/>
  </mergeCells>
  <conditionalFormatting sqref="X6:X82">
    <cfRule type="cellIs" dxfId="138" priority="9" operator="notBetween">
      <formula>Y6 * 0.8</formula>
      <formula>$Y$3</formula>
    </cfRule>
    <cfRule type="cellIs" dxfId="137" priority="10" operator="lessThan">
      <formula>Y6</formula>
    </cfRule>
    <cfRule type="cellIs" dxfId="136" priority="11" operator="greaterThanOrEqual">
      <formula>Y6</formula>
    </cfRule>
  </conditionalFormatting>
  <conditionalFormatting sqref="E4:W4">
    <cfRule type="containsText" dxfId="135" priority="2" stopIfTrue="1" operator="containsText" text="MTM">
      <formula>NOT(ISERROR(SEARCH("MTM",E4)))</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25" r:id="rId4" name="InputSchedule">
          <controlPr autoFill="0" autoLine="0" r:id="rId5">
            <anchor moveWithCells="1">
              <from>
                <xdr:col>27</xdr:col>
                <xdr:colOff>76200</xdr:colOff>
                <xdr:row>1</xdr:row>
                <xdr:rowOff>95250</xdr:rowOff>
              </from>
              <to>
                <xdr:col>29</xdr:col>
                <xdr:colOff>485775</xdr:colOff>
                <xdr:row>3</xdr:row>
                <xdr:rowOff>85725</xdr:rowOff>
              </to>
            </anchor>
          </controlPr>
        </control>
      </mc:Choice>
      <mc:Fallback>
        <control shapeId="1025" r:id="rId4" name="InputSchedule"/>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6" id="{0DC797AF-D17D-43F6-AE25-F57693E26020}">
            <xm:f>Controls!$D$6 = TRUE</xm:f>
            <x14:dxf>
              <font>
                <color theme="1"/>
              </font>
              <fill>
                <patternFill patternType="lightTrellis">
                  <fgColor theme="0"/>
                  <bgColor theme="7" tint="0.39994506668294322"/>
                </patternFill>
              </fill>
            </x14:dxf>
          </x14:cfRule>
          <xm:sqref>E6:E82</xm:sqref>
        </x14:conditionalFormatting>
        <x14:conditionalFormatting xmlns:xm="http://schemas.microsoft.com/office/excel/2006/main">
          <x14:cfRule type="expression" priority="5" id="{AD78BFF6-0568-4AB8-893E-BC265E103634}">
            <xm:f>Controls!$D$7 = TRUE</xm:f>
            <x14:dxf>
              <fill>
                <patternFill patternType="lightTrellis">
                  <fgColor theme="0"/>
                  <bgColor theme="7" tint="0.39994506668294322"/>
                </patternFill>
              </fill>
            </x14:dxf>
          </x14:cfRule>
          <xm:sqref>F6:F82</xm:sqref>
        </x14:conditionalFormatting>
        <x14:conditionalFormatting xmlns:xm="http://schemas.microsoft.com/office/excel/2006/main">
          <x14:cfRule type="expression" priority="4" id="{C5B99817-0780-43B5-A97E-4F3B084004A4}">
            <xm:f>Controls!$D$8 = TRUE</xm:f>
            <x14:dxf>
              <fill>
                <patternFill patternType="lightTrellis">
                  <fgColor theme="0"/>
                  <bgColor theme="7" tint="0.39994506668294322"/>
                </patternFill>
              </fill>
            </x14:dxf>
          </x14:cfRule>
          <xm:sqref>G6:G82</xm:sqref>
        </x14:conditionalFormatting>
        <x14:conditionalFormatting xmlns:xm="http://schemas.microsoft.com/office/excel/2006/main">
          <x14:cfRule type="expression" priority="3" id="{D0236CEB-4D6A-4D53-AA71-B89B99A29C31}">
            <xm:f>Controls!$C$18 = FALSE</xm:f>
            <x14:dxf>
              <fill>
                <patternFill patternType="lightTrellis">
                  <fgColor theme="0" tint="-0.34998626667073579"/>
                  <bgColor theme="0" tint="-0.14996795556505021"/>
                </patternFill>
              </fill>
            </x14:dxf>
          </x14:cfRule>
          <xm:sqref>M6:M82</xm:sqref>
        </x14:conditionalFormatting>
        <x14:conditionalFormatting xmlns:xm="http://schemas.microsoft.com/office/excel/2006/main">
          <x14:cfRule type="expression" priority="1" id="{53C88594-06D8-4691-BDE2-D03D150EFACD}">
            <xm:f>Controls!$C$24=FALSE</xm:f>
            <x14:dxf>
              <fill>
                <patternFill patternType="lightTrellis">
                  <fgColor theme="0" tint="-0.34998626667073579"/>
                  <bgColor theme="0" tint="-0.14993743705557422"/>
                </patternFill>
              </fill>
            </x14:dxf>
          </x14:cfRule>
          <xm:sqref>Q6:Q82</xm:sqref>
        </x14:conditionalFormatting>
        <x14:conditionalFormatting xmlns:xm="http://schemas.microsoft.com/office/excel/2006/main">
          <x14:cfRule type="cellIs" priority="13" operator="greaterThan" id="{C4AE8408-1C0B-414C-A983-55545E49A60C}">
            <xm:f>Controls!$H$16</xm:f>
            <x14:dxf>
              <font>
                <color theme="0"/>
              </font>
              <fill>
                <patternFill patternType="solid">
                  <fgColor rgb="FFFF0000"/>
                  <bgColor rgb="FFC00000"/>
                </patternFill>
              </fill>
            </x14:dxf>
          </x14:cfRule>
          <xm:sqref>E4:W4</xm:sqref>
        </x14:conditionalFormatting>
      </x14:conditionalFormattings>
    </ext>
    <ext xmlns:x15="http://schemas.microsoft.com/office/spreadsheetml/2010/11/main" uri="{3A4CF648-6AED-40f4-86FF-DC5316D8AED3}">
      <x14:slicerList xmlns:x14="http://schemas.microsoft.com/office/spreadsheetml/2009/9/main">
        <x14:slicer r:id="rId7"/>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33"/>
  <sheetViews>
    <sheetView tabSelected="1" workbookViewId="0">
      <selection activeCell="L32" sqref="L32"/>
    </sheetView>
  </sheetViews>
  <sheetFormatPr defaultRowHeight="15" x14ac:dyDescent="0.25"/>
  <cols>
    <col min="1" max="1" width="0.85546875" style="74" customWidth="1"/>
    <col min="2" max="2" width="18.28515625" style="74" bestFit="1" customWidth="1"/>
    <col min="3" max="5" width="9.140625" style="74"/>
    <col min="6" max="6" width="1.85546875" style="74" customWidth="1"/>
    <col min="7" max="7" width="14.85546875" style="74" customWidth="1"/>
    <col min="8" max="8" width="14.85546875" style="74" bestFit="1" customWidth="1"/>
    <col min="9" max="9" width="1.7109375" style="74" customWidth="1"/>
    <col min="10" max="10" width="9.140625" style="74" customWidth="1"/>
    <col min="11" max="12" width="9.140625" style="74"/>
    <col min="13" max="13" width="0.85546875" style="74" customWidth="1"/>
    <col min="14" max="16384" width="9.140625" style="74"/>
  </cols>
  <sheetData>
    <row r="1" spans="1:13" ht="4.5" customHeight="1" thickBot="1" x14ac:dyDescent="0.3">
      <c r="A1" s="39"/>
      <c r="B1" s="34"/>
      <c r="C1" s="34"/>
      <c r="D1" s="34"/>
      <c r="E1" s="34"/>
      <c r="F1" s="34"/>
      <c r="G1" s="34"/>
      <c r="H1" s="34"/>
      <c r="I1" s="34"/>
      <c r="J1" s="34"/>
      <c r="K1" s="34"/>
      <c r="L1" s="34"/>
      <c r="M1" s="35"/>
    </row>
    <row r="2" spans="1:13" x14ac:dyDescent="0.25">
      <c r="A2" s="37"/>
      <c r="B2" s="128" t="s">
        <v>140</v>
      </c>
      <c r="C2" s="129"/>
      <c r="D2" s="129"/>
      <c r="E2" s="130"/>
      <c r="F2" s="42"/>
      <c r="G2" s="134" t="s">
        <v>96</v>
      </c>
      <c r="H2" s="136" t="s">
        <v>145</v>
      </c>
      <c r="I2" s="42"/>
      <c r="J2" s="43"/>
      <c r="K2" s="44"/>
      <c r="L2" s="45"/>
      <c r="M2" s="36"/>
    </row>
    <row r="3" spans="1:13" ht="15.75" thickBot="1" x14ac:dyDescent="0.3">
      <c r="A3" s="37"/>
      <c r="B3" s="131"/>
      <c r="C3" s="132"/>
      <c r="D3" s="132"/>
      <c r="E3" s="133"/>
      <c r="F3" s="42"/>
      <c r="G3" s="135"/>
      <c r="H3" s="137"/>
      <c r="I3" s="42"/>
      <c r="J3" s="46"/>
      <c r="K3" s="42"/>
      <c r="L3" s="47"/>
      <c r="M3" s="36"/>
    </row>
    <row r="4" spans="1:13" ht="15.75" thickBot="1" x14ac:dyDescent="0.3">
      <c r="A4" s="37"/>
      <c r="B4" s="48" t="s">
        <v>141</v>
      </c>
      <c r="C4" s="49" t="s">
        <v>142</v>
      </c>
      <c r="D4" s="49" t="s">
        <v>131</v>
      </c>
      <c r="E4" s="50" t="s">
        <v>143</v>
      </c>
      <c r="F4" s="42"/>
      <c r="G4" s="51" t="s">
        <v>116</v>
      </c>
      <c r="H4" s="47">
        <v>10</v>
      </c>
      <c r="I4" s="42"/>
      <c r="J4" s="46"/>
      <c r="K4" s="42"/>
      <c r="L4" s="47"/>
      <c r="M4" s="36"/>
    </row>
    <row r="5" spans="1:13" x14ac:dyDescent="0.25">
      <c r="A5" s="37"/>
      <c r="B5" s="52" t="s">
        <v>109</v>
      </c>
      <c r="C5" s="53"/>
      <c r="D5" s="53"/>
      <c r="E5" s="54"/>
      <c r="F5" s="42"/>
      <c r="G5" s="55" t="s">
        <v>117</v>
      </c>
      <c r="H5" s="47">
        <v>10</v>
      </c>
      <c r="I5" s="42"/>
      <c r="J5" s="46"/>
      <c r="K5" s="42"/>
      <c r="L5" s="47"/>
      <c r="M5" s="36"/>
    </row>
    <row r="6" spans="1:13" x14ac:dyDescent="0.25">
      <c r="A6" s="37"/>
      <c r="B6" s="46" t="s">
        <v>135</v>
      </c>
      <c r="C6" s="70" t="b">
        <v>1</v>
      </c>
      <c r="D6" s="70" t="b">
        <v>0</v>
      </c>
      <c r="E6" s="56"/>
      <c r="F6" s="42"/>
      <c r="G6" s="57" t="s">
        <v>118</v>
      </c>
      <c r="H6" s="47">
        <v>12</v>
      </c>
      <c r="I6" s="42"/>
      <c r="J6" s="46"/>
      <c r="K6" s="42"/>
      <c r="L6" s="47"/>
      <c r="M6" s="36"/>
    </row>
    <row r="7" spans="1:13" x14ac:dyDescent="0.25">
      <c r="A7" s="37"/>
      <c r="B7" s="46" t="s">
        <v>132</v>
      </c>
      <c r="C7" s="70" t="b">
        <v>1</v>
      </c>
      <c r="D7" s="70" t="b">
        <v>0</v>
      </c>
      <c r="E7" s="56"/>
      <c r="F7" s="42"/>
      <c r="G7" s="55" t="s">
        <v>146</v>
      </c>
      <c r="H7" s="47">
        <v>14</v>
      </c>
      <c r="I7" s="42"/>
      <c r="J7" s="46"/>
      <c r="K7" s="42"/>
      <c r="L7" s="47"/>
      <c r="M7" s="36"/>
    </row>
    <row r="8" spans="1:13" ht="15.75" thickBot="1" x14ac:dyDescent="0.3">
      <c r="A8" s="37"/>
      <c r="B8" s="46" t="s">
        <v>133</v>
      </c>
      <c r="C8" s="70" t="b">
        <v>1</v>
      </c>
      <c r="D8" s="70" t="b">
        <v>0</v>
      </c>
      <c r="E8" s="56"/>
      <c r="F8" s="42"/>
      <c r="G8" s="58" t="s">
        <v>120</v>
      </c>
      <c r="H8" s="59">
        <v>14</v>
      </c>
      <c r="I8" s="42"/>
      <c r="J8" s="46"/>
      <c r="K8" s="42"/>
      <c r="L8" s="47"/>
      <c r="M8" s="36"/>
    </row>
    <row r="9" spans="1:13" ht="15.75" thickBot="1" x14ac:dyDescent="0.3">
      <c r="A9" s="37"/>
      <c r="B9" s="46" t="s">
        <v>134</v>
      </c>
      <c r="C9" s="70" t="b">
        <v>1</v>
      </c>
      <c r="D9" s="70" t="b">
        <v>0</v>
      </c>
      <c r="E9" s="56"/>
      <c r="F9" s="42"/>
      <c r="G9" s="60" t="s">
        <v>123</v>
      </c>
      <c r="H9" s="61">
        <v>20</v>
      </c>
      <c r="I9" s="42"/>
      <c r="J9" s="62"/>
      <c r="K9" s="63"/>
      <c r="L9" s="59"/>
      <c r="M9" s="36"/>
    </row>
    <row r="10" spans="1:13" ht="15.75" thickBot="1" x14ac:dyDescent="0.3">
      <c r="A10" s="37"/>
      <c r="B10" s="46"/>
      <c r="C10" s="70"/>
      <c r="D10" s="70"/>
      <c r="E10" s="56"/>
      <c r="F10" s="42"/>
      <c r="G10" s="42"/>
      <c r="H10" s="42"/>
      <c r="I10" s="42"/>
      <c r="J10" s="43"/>
      <c r="K10" s="44"/>
      <c r="L10" s="45"/>
      <c r="M10" s="36"/>
    </row>
    <row r="11" spans="1:13" ht="15.75" thickBot="1" x14ac:dyDescent="0.3">
      <c r="A11" s="37"/>
      <c r="B11" s="64" t="s">
        <v>110</v>
      </c>
      <c r="C11" s="71"/>
      <c r="D11" s="71"/>
      <c r="E11" s="65"/>
      <c r="F11" s="42"/>
      <c r="G11" s="66" t="s">
        <v>147</v>
      </c>
      <c r="H11" s="61"/>
      <c r="I11" s="42"/>
      <c r="J11" s="46"/>
      <c r="K11" s="42"/>
      <c r="L11" s="47"/>
      <c r="M11" s="36"/>
    </row>
    <row r="12" spans="1:13" x14ac:dyDescent="0.25">
      <c r="A12" s="37"/>
      <c r="B12" s="46" t="s">
        <v>136</v>
      </c>
      <c r="C12" s="70" t="b">
        <v>1</v>
      </c>
      <c r="D12" s="70" t="b">
        <v>0</v>
      </c>
      <c r="E12" s="56"/>
      <c r="F12" s="42"/>
      <c r="G12" s="43" t="s">
        <v>153</v>
      </c>
      <c r="H12" s="45"/>
      <c r="I12" s="42"/>
      <c r="J12" s="46"/>
      <c r="K12" s="42"/>
      <c r="L12" s="47"/>
      <c r="M12" s="36"/>
    </row>
    <row r="13" spans="1:13" ht="15" customHeight="1" thickBot="1" x14ac:dyDescent="0.3">
      <c r="A13" s="37"/>
      <c r="B13" s="46" t="s">
        <v>137</v>
      </c>
      <c r="C13" s="70" t="b">
        <v>1</v>
      </c>
      <c r="D13" s="70" t="b">
        <v>0</v>
      </c>
      <c r="E13" s="56"/>
      <c r="F13" s="42"/>
      <c r="G13" s="152" t="b">
        <v>0</v>
      </c>
      <c r="H13" s="153"/>
      <c r="I13" s="42"/>
      <c r="J13" s="62"/>
      <c r="K13" s="63"/>
      <c r="L13" s="59"/>
      <c r="M13" s="36"/>
    </row>
    <row r="14" spans="1:13" ht="15.75" thickBot="1" x14ac:dyDescent="0.3">
      <c r="A14" s="37"/>
      <c r="B14" s="46" t="s">
        <v>138</v>
      </c>
      <c r="C14" s="70" t="b">
        <v>1</v>
      </c>
      <c r="D14" s="70" t="b">
        <v>0</v>
      </c>
      <c r="E14" s="56"/>
      <c r="F14" s="42"/>
      <c r="G14" s="152"/>
      <c r="H14" s="153"/>
      <c r="I14" s="42"/>
      <c r="J14" s="42"/>
      <c r="K14" s="42"/>
      <c r="L14" s="42"/>
      <c r="M14" s="36"/>
    </row>
    <row r="15" spans="1:13" ht="15.75" thickBot="1" x14ac:dyDescent="0.3">
      <c r="A15" s="37"/>
      <c r="B15" s="46" t="s">
        <v>139</v>
      </c>
      <c r="C15" s="70" t="b">
        <v>1</v>
      </c>
      <c r="D15" s="70" t="b">
        <v>0</v>
      </c>
      <c r="E15" s="56"/>
      <c r="F15" s="42"/>
      <c r="G15" s="154"/>
      <c r="H15" s="155"/>
      <c r="I15" s="42"/>
      <c r="J15" s="43" t="s">
        <v>156</v>
      </c>
      <c r="K15" s="44"/>
      <c r="L15" s="45"/>
      <c r="M15" s="36"/>
    </row>
    <row r="16" spans="1:13" ht="15" customHeight="1" x14ac:dyDescent="0.25">
      <c r="A16" s="37"/>
      <c r="B16" s="46"/>
      <c r="C16" s="70"/>
      <c r="D16" s="70"/>
      <c r="E16" s="56"/>
      <c r="F16" s="42"/>
      <c r="G16" s="43" t="s">
        <v>148</v>
      </c>
      <c r="H16" s="45">
        <v>38</v>
      </c>
      <c r="I16" s="42"/>
      <c r="J16" s="142" t="s">
        <v>157</v>
      </c>
      <c r="K16" s="143"/>
      <c r="L16" s="144"/>
      <c r="M16" s="36"/>
    </row>
    <row r="17" spans="1:13" x14ac:dyDescent="0.25">
      <c r="A17" s="37"/>
      <c r="B17" s="67" t="s">
        <v>111</v>
      </c>
      <c r="C17" s="72"/>
      <c r="D17" s="72"/>
      <c r="E17" s="68"/>
      <c r="F17" s="42"/>
      <c r="G17" s="138" t="b">
        <v>0</v>
      </c>
      <c r="H17" s="139"/>
      <c r="I17" s="42"/>
      <c r="J17" s="142"/>
      <c r="K17" s="143"/>
      <c r="L17" s="144"/>
      <c r="M17" s="36"/>
    </row>
    <row r="18" spans="1:13" x14ac:dyDescent="0.25">
      <c r="A18" s="37"/>
      <c r="B18" s="67" t="s">
        <v>136</v>
      </c>
      <c r="C18" s="72" t="b">
        <v>0</v>
      </c>
      <c r="D18" s="72" t="b">
        <v>0</v>
      </c>
      <c r="E18" s="68"/>
      <c r="F18" s="42"/>
      <c r="G18" s="138"/>
      <c r="H18" s="139"/>
      <c r="I18" s="42"/>
      <c r="J18" s="142"/>
      <c r="K18" s="143"/>
      <c r="L18" s="144"/>
      <c r="M18" s="36"/>
    </row>
    <row r="19" spans="1:13" ht="15.75" thickBot="1" x14ac:dyDescent="0.3">
      <c r="A19" s="37"/>
      <c r="B19" s="46" t="s">
        <v>137</v>
      </c>
      <c r="C19" s="70" t="b">
        <v>1</v>
      </c>
      <c r="D19" s="70" t="b">
        <v>0</v>
      </c>
      <c r="E19" s="56"/>
      <c r="F19" s="42"/>
      <c r="G19" s="140"/>
      <c r="H19" s="141"/>
      <c r="I19" s="42"/>
      <c r="J19" s="142"/>
      <c r="K19" s="143"/>
      <c r="L19" s="144"/>
      <c r="M19" s="36"/>
    </row>
    <row r="20" spans="1:13" x14ac:dyDescent="0.25">
      <c r="A20" s="37"/>
      <c r="B20" s="46" t="s">
        <v>138</v>
      </c>
      <c r="C20" s="70" t="b">
        <v>1</v>
      </c>
      <c r="D20" s="70" t="b">
        <v>0</v>
      </c>
      <c r="E20" s="56"/>
      <c r="F20" s="42"/>
      <c r="G20" s="156" t="b">
        <v>1</v>
      </c>
      <c r="H20" s="157"/>
      <c r="I20" s="42"/>
      <c r="J20" s="142" t="s">
        <v>158</v>
      </c>
      <c r="K20" s="143"/>
      <c r="L20" s="144"/>
      <c r="M20" s="36"/>
    </row>
    <row r="21" spans="1:13" x14ac:dyDescent="0.25">
      <c r="A21" s="37"/>
      <c r="B21" s="46" t="s">
        <v>139</v>
      </c>
      <c r="C21" s="70" t="b">
        <v>1</v>
      </c>
      <c r="D21" s="70" t="b">
        <v>0</v>
      </c>
      <c r="E21" s="56"/>
      <c r="F21" s="42"/>
      <c r="G21" s="156"/>
      <c r="H21" s="157"/>
      <c r="I21" s="42"/>
      <c r="J21" s="142"/>
      <c r="K21" s="143"/>
      <c r="L21" s="144"/>
      <c r="M21" s="36"/>
    </row>
    <row r="22" spans="1:13" ht="15.75" thickBot="1" x14ac:dyDescent="0.3">
      <c r="A22" s="37"/>
      <c r="B22" s="46"/>
      <c r="C22" s="70"/>
      <c r="D22" s="70"/>
      <c r="E22" s="56"/>
      <c r="F22" s="42"/>
      <c r="G22" s="158"/>
      <c r="H22" s="159"/>
      <c r="I22" s="42"/>
      <c r="J22" s="142"/>
      <c r="K22" s="143"/>
      <c r="L22" s="144"/>
      <c r="M22" s="36"/>
    </row>
    <row r="23" spans="1:13" ht="15" customHeight="1" x14ac:dyDescent="0.25">
      <c r="A23" s="37"/>
      <c r="B23" s="67" t="s">
        <v>112</v>
      </c>
      <c r="C23" s="72"/>
      <c r="D23" s="72"/>
      <c r="E23" s="68"/>
      <c r="F23" s="42"/>
      <c r="G23" s="150" t="s">
        <v>150</v>
      </c>
      <c r="H23" s="151"/>
      <c r="I23" s="77"/>
      <c r="J23" s="142" t="s">
        <v>159</v>
      </c>
      <c r="K23" s="143"/>
      <c r="L23" s="144"/>
      <c r="M23" s="36"/>
    </row>
    <row r="24" spans="1:13" ht="15" customHeight="1" thickBot="1" x14ac:dyDescent="0.3">
      <c r="A24" s="37"/>
      <c r="B24" s="67" t="s">
        <v>136</v>
      </c>
      <c r="C24" s="72" t="b">
        <v>0</v>
      </c>
      <c r="D24" s="72" t="b">
        <v>0</v>
      </c>
      <c r="E24" s="68"/>
      <c r="F24" s="42"/>
      <c r="G24" s="148" t="s">
        <v>114</v>
      </c>
      <c r="H24" s="149"/>
      <c r="I24" s="42"/>
      <c r="J24" s="142"/>
      <c r="K24" s="143"/>
      <c r="L24" s="144"/>
      <c r="M24" s="36"/>
    </row>
    <row r="25" spans="1:13" x14ac:dyDescent="0.25">
      <c r="A25" s="37"/>
      <c r="B25" s="46" t="s">
        <v>137</v>
      </c>
      <c r="C25" s="70" t="b">
        <v>1</v>
      </c>
      <c r="D25" s="70" t="b">
        <v>0</v>
      </c>
      <c r="E25" s="56"/>
      <c r="F25" s="42"/>
      <c r="G25" s="43" t="s">
        <v>151</v>
      </c>
      <c r="H25" s="45"/>
      <c r="I25" s="42"/>
      <c r="J25" s="142"/>
      <c r="K25" s="143"/>
      <c r="L25" s="144"/>
      <c r="M25" s="36"/>
    </row>
    <row r="26" spans="1:13" x14ac:dyDescent="0.25">
      <c r="A26" s="37"/>
      <c r="B26" s="46" t="s">
        <v>138</v>
      </c>
      <c r="C26" s="70" t="b">
        <v>1</v>
      </c>
      <c r="D26" s="70" t="b">
        <v>0</v>
      </c>
      <c r="E26" s="56"/>
      <c r="F26" s="42"/>
      <c r="G26" s="46" t="s">
        <v>109</v>
      </c>
      <c r="H26" s="47" t="s">
        <v>82</v>
      </c>
      <c r="I26" s="42"/>
      <c r="J26" s="142"/>
      <c r="K26" s="143"/>
      <c r="L26" s="144"/>
      <c r="M26" s="36"/>
    </row>
    <row r="27" spans="1:13" x14ac:dyDescent="0.25">
      <c r="A27" s="37"/>
      <c r="B27" s="46" t="s">
        <v>139</v>
      </c>
      <c r="C27" s="70" t="b">
        <v>1</v>
      </c>
      <c r="D27" s="70" t="b">
        <v>0</v>
      </c>
      <c r="E27" s="56"/>
      <c r="F27" s="42"/>
      <c r="G27" s="46" t="s">
        <v>110</v>
      </c>
      <c r="H27" s="47" t="s">
        <v>87</v>
      </c>
      <c r="I27" s="42"/>
      <c r="J27" s="142" t="s">
        <v>160</v>
      </c>
      <c r="K27" s="143"/>
      <c r="L27" s="144"/>
      <c r="M27" s="36"/>
    </row>
    <row r="28" spans="1:13" x14ac:dyDescent="0.25">
      <c r="A28" s="37"/>
      <c r="B28" s="46"/>
      <c r="C28" s="70"/>
      <c r="D28" s="70"/>
      <c r="E28" s="56"/>
      <c r="F28" s="42"/>
      <c r="G28" s="46" t="s">
        <v>111</v>
      </c>
      <c r="H28" s="47" t="s">
        <v>92</v>
      </c>
      <c r="I28" s="42"/>
      <c r="J28" s="142"/>
      <c r="K28" s="143"/>
      <c r="L28" s="144"/>
      <c r="M28" s="36"/>
    </row>
    <row r="29" spans="1:13" x14ac:dyDescent="0.25">
      <c r="A29" s="37"/>
      <c r="B29" s="64" t="s">
        <v>113</v>
      </c>
      <c r="C29" s="71"/>
      <c r="D29" s="71"/>
      <c r="E29" s="65"/>
      <c r="F29" s="42"/>
      <c r="G29" s="46" t="s">
        <v>112</v>
      </c>
      <c r="H29" s="47" t="s">
        <v>121</v>
      </c>
      <c r="I29" s="42"/>
      <c r="J29" s="142"/>
      <c r="K29" s="143"/>
      <c r="L29" s="144"/>
      <c r="M29" s="36"/>
    </row>
    <row r="30" spans="1:13" ht="15.75" thickBot="1" x14ac:dyDescent="0.3">
      <c r="A30" s="37"/>
      <c r="B30" s="46" t="s">
        <v>136</v>
      </c>
      <c r="C30" s="70" t="b">
        <v>1</v>
      </c>
      <c r="D30" s="70" t="b">
        <v>0</v>
      </c>
      <c r="E30" s="56"/>
      <c r="F30" s="42"/>
      <c r="G30" s="62" t="s">
        <v>113</v>
      </c>
      <c r="H30" s="59" t="s">
        <v>93</v>
      </c>
      <c r="I30" s="42"/>
      <c r="J30" s="145"/>
      <c r="K30" s="146"/>
      <c r="L30" s="147"/>
      <c r="M30" s="36"/>
    </row>
    <row r="31" spans="1:13" x14ac:dyDescent="0.25">
      <c r="A31" s="37"/>
      <c r="B31" s="46" t="s">
        <v>137</v>
      </c>
      <c r="C31" s="70" t="b">
        <v>1</v>
      </c>
      <c r="D31" s="70" t="b">
        <v>0</v>
      </c>
      <c r="E31" s="56"/>
      <c r="F31" s="42"/>
      <c r="G31" s="42"/>
      <c r="H31" s="42"/>
      <c r="I31" s="42"/>
      <c r="J31" s="42"/>
      <c r="K31" s="42"/>
      <c r="L31" s="42"/>
      <c r="M31" s="36"/>
    </row>
    <row r="32" spans="1:13" ht="15.75" thickBot="1" x14ac:dyDescent="0.3">
      <c r="A32" s="37"/>
      <c r="B32" s="62" t="s">
        <v>138</v>
      </c>
      <c r="C32" s="73" t="b">
        <v>1</v>
      </c>
      <c r="D32" s="73" t="b">
        <v>0</v>
      </c>
      <c r="E32" s="69"/>
      <c r="F32" s="42"/>
      <c r="G32" s="42"/>
      <c r="H32" s="42"/>
      <c r="I32" s="42"/>
      <c r="J32" s="42"/>
      <c r="K32" s="42"/>
      <c r="L32" s="42"/>
      <c r="M32" s="36"/>
    </row>
    <row r="33" spans="1:13" ht="3.75" customHeight="1" thickBot="1" x14ac:dyDescent="0.3">
      <c r="A33" s="40"/>
      <c r="B33" s="41"/>
      <c r="C33" s="41"/>
      <c r="D33" s="41"/>
      <c r="E33" s="41"/>
      <c r="F33" s="41"/>
      <c r="G33" s="41"/>
      <c r="H33" s="41"/>
      <c r="I33" s="41"/>
      <c r="J33" s="41"/>
      <c r="K33" s="41"/>
      <c r="L33" s="41"/>
      <c r="M33" s="38"/>
    </row>
  </sheetData>
  <sheetProtection selectLockedCells="1" selectUnlockedCells="1"/>
  <mergeCells count="12">
    <mergeCell ref="B2:E3"/>
    <mergeCell ref="G2:G3"/>
    <mergeCell ref="H2:H3"/>
    <mergeCell ref="G17:H19"/>
    <mergeCell ref="J27:L30"/>
    <mergeCell ref="G24:H24"/>
    <mergeCell ref="G23:H23"/>
    <mergeCell ref="G13:H15"/>
    <mergeCell ref="J16:L19"/>
    <mergeCell ref="J20:L22"/>
    <mergeCell ref="J23:L26"/>
    <mergeCell ref="G20:H22"/>
  </mergeCells>
  <pageMargins left="0.7" right="0.7" top="0.75" bottom="0.75" header="0.3" footer="0.3"/>
  <pageSetup orientation="portrait" r:id="rId1"/>
  <drawing r:id="rId2"/>
  <legacyDrawing r:id="rId3"/>
  <controls>
    <mc:AlternateContent xmlns:mc="http://schemas.openxmlformats.org/markup-compatibility/2006">
      <mc:Choice Requires="x14">
        <control shapeId="2137" r:id="rId4" name="ClearWholeSchedule">
          <controlPr defaultSize="0" autoLine="0" r:id="rId5">
            <anchor moveWithCells="1">
              <from>
                <xdr:col>9</xdr:col>
                <xdr:colOff>142875</xdr:colOff>
                <xdr:row>9</xdr:row>
                <xdr:rowOff>85725</xdr:rowOff>
              </from>
              <to>
                <xdr:col>11</xdr:col>
                <xdr:colOff>447675</xdr:colOff>
                <xdr:row>12</xdr:row>
                <xdr:rowOff>104775</xdr:rowOff>
              </to>
            </anchor>
          </controlPr>
        </control>
      </mc:Choice>
      <mc:Fallback>
        <control shapeId="2137" r:id="rId4" name="ClearWholeSchedule"/>
      </mc:Fallback>
    </mc:AlternateContent>
    <mc:AlternateContent xmlns:mc="http://schemas.openxmlformats.org/markup-compatibility/2006">
      <mc:Choice Requires="x14">
        <control shapeId="2114" r:id="rId6" name="OtherEvent_F2">
          <controlPr autoLine="0" r:id="rId7">
            <anchor moveWithCells="1" sizeWithCells="1">
              <from>
                <xdr:col>4</xdr:col>
                <xdr:colOff>238125</xdr:colOff>
                <xdr:row>31</xdr:row>
                <xdr:rowOff>38100</xdr:rowOff>
              </from>
              <to>
                <xdr:col>4</xdr:col>
                <xdr:colOff>371475</xdr:colOff>
                <xdr:row>31</xdr:row>
                <xdr:rowOff>180975</xdr:rowOff>
              </to>
            </anchor>
          </controlPr>
        </control>
      </mc:Choice>
      <mc:Fallback>
        <control shapeId="2114" r:id="rId6" name="OtherEvent_F2"/>
      </mc:Fallback>
    </mc:AlternateContent>
    <mc:AlternateContent xmlns:mc="http://schemas.openxmlformats.org/markup-compatibility/2006">
      <mc:Choice Requires="x14">
        <control shapeId="2113" r:id="rId8" name="OtherEvent_F1">
          <controlPr autoLine="0" r:id="rId9">
            <anchor moveWithCells="1" sizeWithCells="1">
              <from>
                <xdr:col>4</xdr:col>
                <xdr:colOff>238125</xdr:colOff>
                <xdr:row>30</xdr:row>
                <xdr:rowOff>28575</xdr:rowOff>
              </from>
              <to>
                <xdr:col>4</xdr:col>
                <xdr:colOff>371475</xdr:colOff>
                <xdr:row>30</xdr:row>
                <xdr:rowOff>171450</xdr:rowOff>
              </to>
            </anchor>
          </controlPr>
        </control>
      </mc:Choice>
      <mc:Fallback>
        <control shapeId="2113" r:id="rId8" name="OtherEvent_F1"/>
      </mc:Fallback>
    </mc:AlternateContent>
    <mc:AlternateContent xmlns:mc="http://schemas.openxmlformats.org/markup-compatibility/2006">
      <mc:Choice Requires="x14">
        <control shapeId="2112" r:id="rId10" name="OtherEvent_Fe">
          <controlPr autoLine="0" r:id="rId11">
            <anchor moveWithCells="1" sizeWithCells="1">
              <from>
                <xdr:col>4</xdr:col>
                <xdr:colOff>238125</xdr:colOff>
                <xdr:row>29</xdr:row>
                <xdr:rowOff>38100</xdr:rowOff>
              </from>
              <to>
                <xdr:col>4</xdr:col>
                <xdr:colOff>371475</xdr:colOff>
                <xdr:row>29</xdr:row>
                <xdr:rowOff>180975</xdr:rowOff>
              </to>
            </anchor>
          </controlPr>
        </control>
      </mc:Choice>
      <mc:Fallback>
        <control shapeId="2112" r:id="rId10" name="OtherEvent_Fe"/>
      </mc:Fallback>
    </mc:AlternateContent>
    <mc:AlternateContent xmlns:mc="http://schemas.openxmlformats.org/markup-compatibility/2006">
      <mc:Choice Requires="x14">
        <control shapeId="2106" r:id="rId12" name="Open_F2">
          <controlPr autoLine="0" linkedCell="C32" r:id="rId13">
            <anchor moveWithCells="1" sizeWithCells="1">
              <from>
                <xdr:col>2</xdr:col>
                <xdr:colOff>238125</xdr:colOff>
                <xdr:row>31</xdr:row>
                <xdr:rowOff>38100</xdr:rowOff>
              </from>
              <to>
                <xdr:col>2</xdr:col>
                <xdr:colOff>371475</xdr:colOff>
                <xdr:row>31</xdr:row>
                <xdr:rowOff>180975</xdr:rowOff>
              </to>
            </anchor>
          </controlPr>
        </control>
      </mc:Choice>
      <mc:Fallback>
        <control shapeId="2106" r:id="rId12" name="Open_F2"/>
      </mc:Fallback>
    </mc:AlternateContent>
    <mc:AlternateContent xmlns:mc="http://schemas.openxmlformats.org/markup-compatibility/2006">
      <mc:Choice Requires="x14">
        <control shapeId="2105" r:id="rId14" name="Open_F1">
          <controlPr autoLine="0" linkedCell="C31" r:id="rId15">
            <anchor moveWithCells="1" sizeWithCells="1">
              <from>
                <xdr:col>2</xdr:col>
                <xdr:colOff>238125</xdr:colOff>
                <xdr:row>30</xdr:row>
                <xdr:rowOff>28575</xdr:rowOff>
              </from>
              <to>
                <xdr:col>2</xdr:col>
                <xdr:colOff>371475</xdr:colOff>
                <xdr:row>30</xdr:row>
                <xdr:rowOff>171450</xdr:rowOff>
              </to>
            </anchor>
          </controlPr>
        </control>
      </mc:Choice>
      <mc:Fallback>
        <control shapeId="2105" r:id="rId14" name="Open_F1"/>
      </mc:Fallback>
    </mc:AlternateContent>
    <mc:AlternateContent xmlns:mc="http://schemas.openxmlformats.org/markup-compatibility/2006">
      <mc:Choice Requires="x14">
        <control shapeId="2104" r:id="rId16" name="Open_Fe">
          <controlPr autoLine="0" linkedCell="C30" r:id="rId17">
            <anchor moveWithCells="1" sizeWithCells="1">
              <from>
                <xdr:col>2</xdr:col>
                <xdr:colOff>238125</xdr:colOff>
                <xdr:row>29</xdr:row>
                <xdr:rowOff>38100</xdr:rowOff>
              </from>
              <to>
                <xdr:col>2</xdr:col>
                <xdr:colOff>371475</xdr:colOff>
                <xdr:row>29</xdr:row>
                <xdr:rowOff>180975</xdr:rowOff>
              </to>
            </anchor>
          </controlPr>
        </control>
      </mc:Choice>
      <mc:Fallback>
        <control shapeId="2104" r:id="rId16" name="Open_Fe"/>
      </mc:Fallback>
    </mc:AlternateContent>
    <mc:AlternateContent xmlns:mc="http://schemas.openxmlformats.org/markup-compatibility/2006">
      <mc:Choice Requires="x14">
        <control shapeId="2103" r:id="rId18" name="OtherEvent_Thp">
          <controlPr autoLine="0" r:id="rId19">
            <anchor moveWithCells="1" sizeWithCells="1">
              <from>
                <xdr:col>4</xdr:col>
                <xdr:colOff>238125</xdr:colOff>
                <xdr:row>26</xdr:row>
                <xdr:rowOff>28575</xdr:rowOff>
              </from>
              <to>
                <xdr:col>4</xdr:col>
                <xdr:colOff>371475</xdr:colOff>
                <xdr:row>26</xdr:row>
                <xdr:rowOff>171450</xdr:rowOff>
              </to>
            </anchor>
          </controlPr>
        </control>
      </mc:Choice>
      <mc:Fallback>
        <control shapeId="2103" r:id="rId18" name="OtherEvent_Thp"/>
      </mc:Fallback>
    </mc:AlternateContent>
    <mc:AlternateContent xmlns:mc="http://schemas.openxmlformats.org/markup-compatibility/2006">
      <mc:Choice Requires="x14">
        <control shapeId="2102" r:id="rId20" name="OtherEvent_Th2">
          <controlPr autoLine="0" r:id="rId21">
            <anchor moveWithCells="1" sizeWithCells="1">
              <from>
                <xdr:col>4</xdr:col>
                <xdr:colOff>238125</xdr:colOff>
                <xdr:row>25</xdr:row>
                <xdr:rowOff>38100</xdr:rowOff>
              </from>
              <to>
                <xdr:col>4</xdr:col>
                <xdr:colOff>371475</xdr:colOff>
                <xdr:row>25</xdr:row>
                <xdr:rowOff>180975</xdr:rowOff>
              </to>
            </anchor>
          </controlPr>
        </control>
      </mc:Choice>
      <mc:Fallback>
        <control shapeId="2102" r:id="rId20" name="OtherEvent_Th2"/>
      </mc:Fallback>
    </mc:AlternateContent>
    <mc:AlternateContent xmlns:mc="http://schemas.openxmlformats.org/markup-compatibility/2006">
      <mc:Choice Requires="x14">
        <control shapeId="2101" r:id="rId22" name="OtherEvent_Th1">
          <controlPr autoLine="0" r:id="rId23">
            <anchor moveWithCells="1" sizeWithCells="1">
              <from>
                <xdr:col>4</xdr:col>
                <xdr:colOff>238125</xdr:colOff>
                <xdr:row>24</xdr:row>
                <xdr:rowOff>28575</xdr:rowOff>
              </from>
              <to>
                <xdr:col>4</xdr:col>
                <xdr:colOff>371475</xdr:colOff>
                <xdr:row>24</xdr:row>
                <xdr:rowOff>171450</xdr:rowOff>
              </to>
            </anchor>
          </controlPr>
        </control>
      </mc:Choice>
      <mc:Fallback>
        <control shapeId="2101" r:id="rId22" name="OtherEvent_Th1"/>
      </mc:Fallback>
    </mc:AlternateContent>
    <mc:AlternateContent xmlns:mc="http://schemas.openxmlformats.org/markup-compatibility/2006">
      <mc:Choice Requires="x14">
        <control shapeId="2100" r:id="rId24" name="OtherEvent_The">
          <controlPr autoLine="0" r:id="rId25">
            <anchor moveWithCells="1" sizeWithCells="1">
              <from>
                <xdr:col>4</xdr:col>
                <xdr:colOff>238125</xdr:colOff>
                <xdr:row>23</xdr:row>
                <xdr:rowOff>38100</xdr:rowOff>
              </from>
              <to>
                <xdr:col>4</xdr:col>
                <xdr:colOff>371475</xdr:colOff>
                <xdr:row>23</xdr:row>
                <xdr:rowOff>180975</xdr:rowOff>
              </to>
            </anchor>
          </controlPr>
        </control>
      </mc:Choice>
      <mc:Fallback>
        <control shapeId="2100" r:id="rId24" name="OtherEvent_The"/>
      </mc:Fallback>
    </mc:AlternateContent>
    <mc:AlternateContent xmlns:mc="http://schemas.openxmlformats.org/markup-compatibility/2006">
      <mc:Choice Requires="x14">
        <control shapeId="2095" r:id="rId26" name="Open_Thp">
          <controlPr autoLine="0" linkedCell="C27" r:id="rId27">
            <anchor moveWithCells="1" sizeWithCells="1">
              <from>
                <xdr:col>2</xdr:col>
                <xdr:colOff>238125</xdr:colOff>
                <xdr:row>26</xdr:row>
                <xdr:rowOff>28575</xdr:rowOff>
              </from>
              <to>
                <xdr:col>2</xdr:col>
                <xdr:colOff>371475</xdr:colOff>
                <xdr:row>26</xdr:row>
                <xdr:rowOff>171450</xdr:rowOff>
              </to>
            </anchor>
          </controlPr>
        </control>
      </mc:Choice>
      <mc:Fallback>
        <control shapeId="2095" r:id="rId26" name="Open_Thp"/>
      </mc:Fallback>
    </mc:AlternateContent>
    <mc:AlternateContent xmlns:mc="http://schemas.openxmlformats.org/markup-compatibility/2006">
      <mc:Choice Requires="x14">
        <control shapeId="2094" r:id="rId28" name="Open_Th2">
          <controlPr autoLine="0" linkedCell="C26" r:id="rId29">
            <anchor moveWithCells="1" sizeWithCells="1">
              <from>
                <xdr:col>2</xdr:col>
                <xdr:colOff>238125</xdr:colOff>
                <xdr:row>25</xdr:row>
                <xdr:rowOff>38100</xdr:rowOff>
              </from>
              <to>
                <xdr:col>2</xdr:col>
                <xdr:colOff>371475</xdr:colOff>
                <xdr:row>25</xdr:row>
                <xdr:rowOff>180975</xdr:rowOff>
              </to>
            </anchor>
          </controlPr>
        </control>
      </mc:Choice>
      <mc:Fallback>
        <control shapeId="2094" r:id="rId28" name="Open_Th2"/>
      </mc:Fallback>
    </mc:AlternateContent>
    <mc:AlternateContent xmlns:mc="http://schemas.openxmlformats.org/markup-compatibility/2006">
      <mc:Choice Requires="x14">
        <control shapeId="2093" r:id="rId30" name="Open_Th1">
          <controlPr autoLine="0" linkedCell="C25" r:id="rId31">
            <anchor moveWithCells="1" sizeWithCells="1">
              <from>
                <xdr:col>2</xdr:col>
                <xdr:colOff>238125</xdr:colOff>
                <xdr:row>24</xdr:row>
                <xdr:rowOff>28575</xdr:rowOff>
              </from>
              <to>
                <xdr:col>2</xdr:col>
                <xdr:colOff>371475</xdr:colOff>
                <xdr:row>24</xdr:row>
                <xdr:rowOff>171450</xdr:rowOff>
              </to>
            </anchor>
          </controlPr>
        </control>
      </mc:Choice>
      <mc:Fallback>
        <control shapeId="2093" r:id="rId30" name="Open_Th1"/>
      </mc:Fallback>
    </mc:AlternateContent>
    <mc:AlternateContent xmlns:mc="http://schemas.openxmlformats.org/markup-compatibility/2006">
      <mc:Choice Requires="x14">
        <control shapeId="2092" r:id="rId32" name="Open_The">
          <controlPr autoLine="0" linkedCell="C24" r:id="rId33">
            <anchor moveWithCells="1" sizeWithCells="1">
              <from>
                <xdr:col>2</xdr:col>
                <xdr:colOff>238125</xdr:colOff>
                <xdr:row>23</xdr:row>
                <xdr:rowOff>38100</xdr:rowOff>
              </from>
              <to>
                <xdr:col>2</xdr:col>
                <xdr:colOff>371475</xdr:colOff>
                <xdr:row>23</xdr:row>
                <xdr:rowOff>180975</xdr:rowOff>
              </to>
            </anchor>
          </controlPr>
        </control>
      </mc:Choice>
      <mc:Fallback>
        <control shapeId="2092" r:id="rId32" name="Open_The"/>
      </mc:Fallback>
    </mc:AlternateContent>
    <mc:AlternateContent xmlns:mc="http://schemas.openxmlformats.org/markup-compatibility/2006">
      <mc:Choice Requires="x14">
        <control shapeId="2091" r:id="rId34" name="OtherEvent_Wp">
          <controlPr autoLine="0" r:id="rId35">
            <anchor moveWithCells="1" sizeWithCells="1">
              <from>
                <xdr:col>4</xdr:col>
                <xdr:colOff>238125</xdr:colOff>
                <xdr:row>20</xdr:row>
                <xdr:rowOff>28575</xdr:rowOff>
              </from>
              <to>
                <xdr:col>4</xdr:col>
                <xdr:colOff>371475</xdr:colOff>
                <xdr:row>20</xdr:row>
                <xdr:rowOff>171450</xdr:rowOff>
              </to>
            </anchor>
          </controlPr>
        </control>
      </mc:Choice>
      <mc:Fallback>
        <control shapeId="2091" r:id="rId34" name="OtherEvent_Wp"/>
      </mc:Fallback>
    </mc:AlternateContent>
    <mc:AlternateContent xmlns:mc="http://schemas.openxmlformats.org/markup-compatibility/2006">
      <mc:Choice Requires="x14">
        <control shapeId="2090" r:id="rId36" name="OtherEvent_W2">
          <controlPr autoLine="0" r:id="rId37">
            <anchor moveWithCells="1" sizeWithCells="1">
              <from>
                <xdr:col>4</xdr:col>
                <xdr:colOff>238125</xdr:colOff>
                <xdr:row>19</xdr:row>
                <xdr:rowOff>38100</xdr:rowOff>
              </from>
              <to>
                <xdr:col>4</xdr:col>
                <xdr:colOff>371475</xdr:colOff>
                <xdr:row>19</xdr:row>
                <xdr:rowOff>180975</xdr:rowOff>
              </to>
            </anchor>
          </controlPr>
        </control>
      </mc:Choice>
      <mc:Fallback>
        <control shapeId="2090" r:id="rId36" name="OtherEvent_W2"/>
      </mc:Fallback>
    </mc:AlternateContent>
    <mc:AlternateContent xmlns:mc="http://schemas.openxmlformats.org/markup-compatibility/2006">
      <mc:Choice Requires="x14">
        <control shapeId="2089" r:id="rId38" name="OtherEvent_W1">
          <controlPr autoLine="0" r:id="rId39">
            <anchor moveWithCells="1" sizeWithCells="1">
              <from>
                <xdr:col>4</xdr:col>
                <xdr:colOff>238125</xdr:colOff>
                <xdr:row>18</xdr:row>
                <xdr:rowOff>28575</xdr:rowOff>
              </from>
              <to>
                <xdr:col>4</xdr:col>
                <xdr:colOff>371475</xdr:colOff>
                <xdr:row>18</xdr:row>
                <xdr:rowOff>171450</xdr:rowOff>
              </to>
            </anchor>
          </controlPr>
        </control>
      </mc:Choice>
      <mc:Fallback>
        <control shapeId="2089" r:id="rId38" name="OtherEvent_W1"/>
      </mc:Fallback>
    </mc:AlternateContent>
    <mc:AlternateContent xmlns:mc="http://schemas.openxmlformats.org/markup-compatibility/2006">
      <mc:Choice Requires="x14">
        <control shapeId="2088" r:id="rId40" name="OtherEvent_We">
          <controlPr autoLine="0" r:id="rId41">
            <anchor moveWithCells="1" sizeWithCells="1">
              <from>
                <xdr:col>4</xdr:col>
                <xdr:colOff>238125</xdr:colOff>
                <xdr:row>17</xdr:row>
                <xdr:rowOff>38100</xdr:rowOff>
              </from>
              <to>
                <xdr:col>4</xdr:col>
                <xdr:colOff>371475</xdr:colOff>
                <xdr:row>17</xdr:row>
                <xdr:rowOff>180975</xdr:rowOff>
              </to>
            </anchor>
          </controlPr>
        </control>
      </mc:Choice>
      <mc:Fallback>
        <control shapeId="2088" r:id="rId40" name="OtherEvent_We"/>
      </mc:Fallback>
    </mc:AlternateContent>
    <mc:AlternateContent xmlns:mc="http://schemas.openxmlformats.org/markup-compatibility/2006">
      <mc:Choice Requires="x14">
        <control shapeId="2083" r:id="rId42" name="Open_Wp">
          <controlPr autoLine="0" linkedCell="C21" r:id="rId43">
            <anchor moveWithCells="1" sizeWithCells="1">
              <from>
                <xdr:col>2</xdr:col>
                <xdr:colOff>238125</xdr:colOff>
                <xdr:row>20</xdr:row>
                <xdr:rowOff>28575</xdr:rowOff>
              </from>
              <to>
                <xdr:col>2</xdr:col>
                <xdr:colOff>371475</xdr:colOff>
                <xdr:row>20</xdr:row>
                <xdr:rowOff>171450</xdr:rowOff>
              </to>
            </anchor>
          </controlPr>
        </control>
      </mc:Choice>
      <mc:Fallback>
        <control shapeId="2083" r:id="rId42" name="Open_Wp"/>
      </mc:Fallback>
    </mc:AlternateContent>
    <mc:AlternateContent xmlns:mc="http://schemas.openxmlformats.org/markup-compatibility/2006">
      <mc:Choice Requires="x14">
        <control shapeId="2082" r:id="rId44" name="Open_W2">
          <controlPr autoLine="0" linkedCell="C20" r:id="rId45">
            <anchor moveWithCells="1" sizeWithCells="1">
              <from>
                <xdr:col>2</xdr:col>
                <xdr:colOff>238125</xdr:colOff>
                <xdr:row>19</xdr:row>
                <xdr:rowOff>38100</xdr:rowOff>
              </from>
              <to>
                <xdr:col>2</xdr:col>
                <xdr:colOff>371475</xdr:colOff>
                <xdr:row>19</xdr:row>
                <xdr:rowOff>180975</xdr:rowOff>
              </to>
            </anchor>
          </controlPr>
        </control>
      </mc:Choice>
      <mc:Fallback>
        <control shapeId="2082" r:id="rId44" name="Open_W2"/>
      </mc:Fallback>
    </mc:AlternateContent>
    <mc:AlternateContent xmlns:mc="http://schemas.openxmlformats.org/markup-compatibility/2006">
      <mc:Choice Requires="x14">
        <control shapeId="2081" r:id="rId46" name="Open_W1">
          <controlPr autoLine="0" linkedCell="C19" r:id="rId47">
            <anchor moveWithCells="1" sizeWithCells="1">
              <from>
                <xdr:col>2</xdr:col>
                <xdr:colOff>238125</xdr:colOff>
                <xdr:row>18</xdr:row>
                <xdr:rowOff>28575</xdr:rowOff>
              </from>
              <to>
                <xdr:col>2</xdr:col>
                <xdr:colOff>371475</xdr:colOff>
                <xdr:row>18</xdr:row>
                <xdr:rowOff>171450</xdr:rowOff>
              </to>
            </anchor>
          </controlPr>
        </control>
      </mc:Choice>
      <mc:Fallback>
        <control shapeId="2081" r:id="rId46" name="Open_W1"/>
      </mc:Fallback>
    </mc:AlternateContent>
    <mc:AlternateContent xmlns:mc="http://schemas.openxmlformats.org/markup-compatibility/2006">
      <mc:Choice Requires="x14">
        <control shapeId="2080" r:id="rId48" name="Open_We">
          <controlPr autoLine="0" linkedCell="C18" r:id="rId49">
            <anchor moveWithCells="1" sizeWithCells="1">
              <from>
                <xdr:col>2</xdr:col>
                <xdr:colOff>238125</xdr:colOff>
                <xdr:row>17</xdr:row>
                <xdr:rowOff>38100</xdr:rowOff>
              </from>
              <to>
                <xdr:col>2</xdr:col>
                <xdr:colOff>371475</xdr:colOff>
                <xdr:row>17</xdr:row>
                <xdr:rowOff>180975</xdr:rowOff>
              </to>
            </anchor>
          </controlPr>
        </control>
      </mc:Choice>
      <mc:Fallback>
        <control shapeId="2080" r:id="rId48" name="Open_We"/>
      </mc:Fallback>
    </mc:AlternateContent>
    <mc:AlternateContent xmlns:mc="http://schemas.openxmlformats.org/markup-compatibility/2006">
      <mc:Choice Requires="x14">
        <control shapeId="2079" r:id="rId50" name="OtherEvent_Tp">
          <controlPr autoLine="0" r:id="rId51">
            <anchor moveWithCells="1" sizeWithCells="1">
              <from>
                <xdr:col>4</xdr:col>
                <xdr:colOff>238125</xdr:colOff>
                <xdr:row>14</xdr:row>
                <xdr:rowOff>28575</xdr:rowOff>
              </from>
              <to>
                <xdr:col>4</xdr:col>
                <xdr:colOff>371475</xdr:colOff>
                <xdr:row>14</xdr:row>
                <xdr:rowOff>171450</xdr:rowOff>
              </to>
            </anchor>
          </controlPr>
        </control>
      </mc:Choice>
      <mc:Fallback>
        <control shapeId="2079" r:id="rId50" name="OtherEvent_Tp"/>
      </mc:Fallback>
    </mc:AlternateContent>
    <mc:AlternateContent xmlns:mc="http://schemas.openxmlformats.org/markup-compatibility/2006">
      <mc:Choice Requires="x14">
        <control shapeId="2078" r:id="rId52" name="OtherEvent_T2">
          <controlPr autoLine="0" r:id="rId53">
            <anchor moveWithCells="1" sizeWithCells="1">
              <from>
                <xdr:col>4</xdr:col>
                <xdr:colOff>238125</xdr:colOff>
                <xdr:row>13</xdr:row>
                <xdr:rowOff>38100</xdr:rowOff>
              </from>
              <to>
                <xdr:col>4</xdr:col>
                <xdr:colOff>371475</xdr:colOff>
                <xdr:row>13</xdr:row>
                <xdr:rowOff>180975</xdr:rowOff>
              </to>
            </anchor>
          </controlPr>
        </control>
      </mc:Choice>
      <mc:Fallback>
        <control shapeId="2078" r:id="rId52" name="OtherEvent_T2"/>
      </mc:Fallback>
    </mc:AlternateContent>
    <mc:AlternateContent xmlns:mc="http://schemas.openxmlformats.org/markup-compatibility/2006">
      <mc:Choice Requires="x14">
        <control shapeId="2077" r:id="rId54" name="OtherEvent_T1">
          <controlPr autoLine="0" r:id="rId55">
            <anchor moveWithCells="1" sizeWithCells="1">
              <from>
                <xdr:col>4</xdr:col>
                <xdr:colOff>238125</xdr:colOff>
                <xdr:row>12</xdr:row>
                <xdr:rowOff>28575</xdr:rowOff>
              </from>
              <to>
                <xdr:col>4</xdr:col>
                <xdr:colOff>371475</xdr:colOff>
                <xdr:row>12</xdr:row>
                <xdr:rowOff>171450</xdr:rowOff>
              </to>
            </anchor>
          </controlPr>
        </control>
      </mc:Choice>
      <mc:Fallback>
        <control shapeId="2077" r:id="rId54" name="OtherEvent_T1"/>
      </mc:Fallback>
    </mc:AlternateContent>
    <mc:AlternateContent xmlns:mc="http://schemas.openxmlformats.org/markup-compatibility/2006">
      <mc:Choice Requires="x14">
        <control shapeId="2076" r:id="rId56" name="OtherEvent_Te">
          <controlPr autoLine="0" r:id="rId57">
            <anchor moveWithCells="1" sizeWithCells="1">
              <from>
                <xdr:col>4</xdr:col>
                <xdr:colOff>238125</xdr:colOff>
                <xdr:row>11</xdr:row>
                <xdr:rowOff>38100</xdr:rowOff>
              </from>
              <to>
                <xdr:col>4</xdr:col>
                <xdr:colOff>371475</xdr:colOff>
                <xdr:row>11</xdr:row>
                <xdr:rowOff>180975</xdr:rowOff>
              </to>
            </anchor>
          </controlPr>
        </control>
      </mc:Choice>
      <mc:Fallback>
        <control shapeId="2076" r:id="rId56" name="OtherEvent_Te"/>
      </mc:Fallback>
    </mc:AlternateContent>
    <mc:AlternateContent xmlns:mc="http://schemas.openxmlformats.org/markup-compatibility/2006">
      <mc:Choice Requires="x14">
        <control shapeId="2071" r:id="rId58" name="Open_Tp">
          <controlPr autoLine="0" linkedCell="C15" r:id="rId59">
            <anchor moveWithCells="1" sizeWithCells="1">
              <from>
                <xdr:col>2</xdr:col>
                <xdr:colOff>238125</xdr:colOff>
                <xdr:row>14</xdr:row>
                <xdr:rowOff>28575</xdr:rowOff>
              </from>
              <to>
                <xdr:col>2</xdr:col>
                <xdr:colOff>371475</xdr:colOff>
                <xdr:row>14</xdr:row>
                <xdr:rowOff>171450</xdr:rowOff>
              </to>
            </anchor>
          </controlPr>
        </control>
      </mc:Choice>
      <mc:Fallback>
        <control shapeId="2071" r:id="rId58" name="Open_Tp"/>
      </mc:Fallback>
    </mc:AlternateContent>
    <mc:AlternateContent xmlns:mc="http://schemas.openxmlformats.org/markup-compatibility/2006">
      <mc:Choice Requires="x14">
        <control shapeId="2070" r:id="rId60" name="Open_T2">
          <controlPr autoLine="0" linkedCell="C14" r:id="rId61">
            <anchor moveWithCells="1" sizeWithCells="1">
              <from>
                <xdr:col>2</xdr:col>
                <xdr:colOff>238125</xdr:colOff>
                <xdr:row>13</xdr:row>
                <xdr:rowOff>38100</xdr:rowOff>
              </from>
              <to>
                <xdr:col>2</xdr:col>
                <xdr:colOff>371475</xdr:colOff>
                <xdr:row>13</xdr:row>
                <xdr:rowOff>180975</xdr:rowOff>
              </to>
            </anchor>
          </controlPr>
        </control>
      </mc:Choice>
      <mc:Fallback>
        <control shapeId="2070" r:id="rId60" name="Open_T2"/>
      </mc:Fallback>
    </mc:AlternateContent>
    <mc:AlternateContent xmlns:mc="http://schemas.openxmlformats.org/markup-compatibility/2006">
      <mc:Choice Requires="x14">
        <control shapeId="2069" r:id="rId62" name="Open_T1">
          <controlPr autoLine="0" linkedCell="C13" r:id="rId63">
            <anchor moveWithCells="1" sizeWithCells="1">
              <from>
                <xdr:col>2</xdr:col>
                <xdr:colOff>238125</xdr:colOff>
                <xdr:row>12</xdr:row>
                <xdr:rowOff>28575</xdr:rowOff>
              </from>
              <to>
                <xdr:col>2</xdr:col>
                <xdr:colOff>371475</xdr:colOff>
                <xdr:row>12</xdr:row>
                <xdr:rowOff>171450</xdr:rowOff>
              </to>
            </anchor>
          </controlPr>
        </control>
      </mc:Choice>
      <mc:Fallback>
        <control shapeId="2069" r:id="rId62" name="Open_T1"/>
      </mc:Fallback>
    </mc:AlternateContent>
    <mc:AlternateContent xmlns:mc="http://schemas.openxmlformats.org/markup-compatibility/2006">
      <mc:Choice Requires="x14">
        <control shapeId="2068" r:id="rId64" name="Open_Te">
          <controlPr autoLine="0" linkedCell="C12" r:id="rId65">
            <anchor moveWithCells="1" sizeWithCells="1">
              <from>
                <xdr:col>2</xdr:col>
                <xdr:colOff>238125</xdr:colOff>
                <xdr:row>11</xdr:row>
                <xdr:rowOff>38100</xdr:rowOff>
              </from>
              <to>
                <xdr:col>2</xdr:col>
                <xdr:colOff>371475</xdr:colOff>
                <xdr:row>11</xdr:row>
                <xdr:rowOff>180975</xdr:rowOff>
              </to>
            </anchor>
          </controlPr>
        </control>
      </mc:Choice>
      <mc:Fallback>
        <control shapeId="2068" r:id="rId64" name="Open_Te"/>
      </mc:Fallback>
    </mc:AlternateContent>
    <mc:AlternateContent xmlns:mc="http://schemas.openxmlformats.org/markup-compatibility/2006">
      <mc:Choice Requires="x14">
        <control shapeId="2067" r:id="rId66" name="OtherEvent_Sp">
          <controlPr autoLine="0" r:id="rId67">
            <anchor moveWithCells="1" sizeWithCells="1">
              <from>
                <xdr:col>4</xdr:col>
                <xdr:colOff>238125</xdr:colOff>
                <xdr:row>8</xdr:row>
                <xdr:rowOff>28575</xdr:rowOff>
              </from>
              <to>
                <xdr:col>4</xdr:col>
                <xdr:colOff>371475</xdr:colOff>
                <xdr:row>8</xdr:row>
                <xdr:rowOff>171450</xdr:rowOff>
              </to>
            </anchor>
          </controlPr>
        </control>
      </mc:Choice>
      <mc:Fallback>
        <control shapeId="2067" r:id="rId66" name="OtherEvent_Sp"/>
      </mc:Fallback>
    </mc:AlternateContent>
    <mc:AlternateContent xmlns:mc="http://schemas.openxmlformats.org/markup-compatibility/2006">
      <mc:Choice Requires="x14">
        <control shapeId="2066" r:id="rId68" name="OtherEvent_S2">
          <controlPr autoLine="0" r:id="rId69">
            <anchor moveWithCells="1" sizeWithCells="1">
              <from>
                <xdr:col>4</xdr:col>
                <xdr:colOff>238125</xdr:colOff>
                <xdr:row>7</xdr:row>
                <xdr:rowOff>38100</xdr:rowOff>
              </from>
              <to>
                <xdr:col>4</xdr:col>
                <xdr:colOff>371475</xdr:colOff>
                <xdr:row>7</xdr:row>
                <xdr:rowOff>180975</xdr:rowOff>
              </to>
            </anchor>
          </controlPr>
        </control>
      </mc:Choice>
      <mc:Fallback>
        <control shapeId="2066" r:id="rId68" name="OtherEvent_S2"/>
      </mc:Fallback>
    </mc:AlternateContent>
    <mc:AlternateContent xmlns:mc="http://schemas.openxmlformats.org/markup-compatibility/2006">
      <mc:Choice Requires="x14">
        <control shapeId="2065" r:id="rId70" name="OtherEvent_S1">
          <controlPr autoLine="0" r:id="rId71">
            <anchor moveWithCells="1" sizeWithCells="1">
              <from>
                <xdr:col>4</xdr:col>
                <xdr:colOff>238125</xdr:colOff>
                <xdr:row>6</xdr:row>
                <xdr:rowOff>28575</xdr:rowOff>
              </from>
              <to>
                <xdr:col>4</xdr:col>
                <xdr:colOff>371475</xdr:colOff>
                <xdr:row>6</xdr:row>
                <xdr:rowOff>171450</xdr:rowOff>
              </to>
            </anchor>
          </controlPr>
        </control>
      </mc:Choice>
      <mc:Fallback>
        <control shapeId="2065" r:id="rId70" name="OtherEvent_S1"/>
      </mc:Fallback>
    </mc:AlternateContent>
    <mc:AlternateContent xmlns:mc="http://schemas.openxmlformats.org/markup-compatibility/2006">
      <mc:Choice Requires="x14">
        <control shapeId="2064" r:id="rId72" name="OtherEvent_Se">
          <controlPr autoLine="0" r:id="rId73">
            <anchor moveWithCells="1" sizeWithCells="1">
              <from>
                <xdr:col>4</xdr:col>
                <xdr:colOff>238125</xdr:colOff>
                <xdr:row>5</xdr:row>
                <xdr:rowOff>38100</xdr:rowOff>
              </from>
              <to>
                <xdr:col>4</xdr:col>
                <xdr:colOff>371475</xdr:colOff>
                <xdr:row>5</xdr:row>
                <xdr:rowOff>180975</xdr:rowOff>
              </to>
            </anchor>
          </controlPr>
        </control>
      </mc:Choice>
      <mc:Fallback>
        <control shapeId="2064" r:id="rId72" name="OtherEvent_Se"/>
      </mc:Fallback>
    </mc:AlternateContent>
    <mc:AlternateContent xmlns:mc="http://schemas.openxmlformats.org/markup-compatibility/2006">
      <mc:Choice Requires="x14">
        <control shapeId="2053" r:id="rId74" name="Open_Sp">
          <controlPr autoLine="0" linkedCell="C9" r:id="rId75">
            <anchor moveWithCells="1" sizeWithCells="1">
              <from>
                <xdr:col>2</xdr:col>
                <xdr:colOff>238125</xdr:colOff>
                <xdr:row>8</xdr:row>
                <xdr:rowOff>28575</xdr:rowOff>
              </from>
              <to>
                <xdr:col>2</xdr:col>
                <xdr:colOff>371475</xdr:colOff>
                <xdr:row>8</xdr:row>
                <xdr:rowOff>171450</xdr:rowOff>
              </to>
            </anchor>
          </controlPr>
        </control>
      </mc:Choice>
      <mc:Fallback>
        <control shapeId="2053" r:id="rId74" name="Open_Sp"/>
      </mc:Fallback>
    </mc:AlternateContent>
    <mc:AlternateContent xmlns:mc="http://schemas.openxmlformats.org/markup-compatibility/2006">
      <mc:Choice Requires="x14">
        <control shapeId="2052" r:id="rId76" name="Open_S2">
          <controlPr autoLine="0" linkedCell="C8" r:id="rId77">
            <anchor moveWithCells="1" sizeWithCells="1">
              <from>
                <xdr:col>2</xdr:col>
                <xdr:colOff>238125</xdr:colOff>
                <xdr:row>7</xdr:row>
                <xdr:rowOff>38100</xdr:rowOff>
              </from>
              <to>
                <xdr:col>2</xdr:col>
                <xdr:colOff>371475</xdr:colOff>
                <xdr:row>7</xdr:row>
                <xdr:rowOff>180975</xdr:rowOff>
              </to>
            </anchor>
          </controlPr>
        </control>
      </mc:Choice>
      <mc:Fallback>
        <control shapeId="2052" r:id="rId76" name="Open_S2"/>
      </mc:Fallback>
    </mc:AlternateContent>
    <mc:AlternateContent xmlns:mc="http://schemas.openxmlformats.org/markup-compatibility/2006">
      <mc:Choice Requires="x14">
        <control shapeId="2051" r:id="rId78" name="open_s1">
          <controlPr autoLine="0" linkedCell="C7" r:id="rId79">
            <anchor moveWithCells="1" sizeWithCells="1">
              <from>
                <xdr:col>2</xdr:col>
                <xdr:colOff>238125</xdr:colOff>
                <xdr:row>6</xdr:row>
                <xdr:rowOff>28575</xdr:rowOff>
              </from>
              <to>
                <xdr:col>2</xdr:col>
                <xdr:colOff>371475</xdr:colOff>
                <xdr:row>6</xdr:row>
                <xdr:rowOff>171450</xdr:rowOff>
              </to>
            </anchor>
          </controlPr>
        </control>
      </mc:Choice>
      <mc:Fallback>
        <control shapeId="2051" r:id="rId78" name="open_s1"/>
      </mc:Fallback>
    </mc:AlternateContent>
    <mc:AlternateContent xmlns:mc="http://schemas.openxmlformats.org/markup-compatibility/2006">
      <mc:Choice Requires="x14">
        <control shapeId="2050" r:id="rId80" name="Open_Se">
          <controlPr autoLine="0" linkedCell="C6" r:id="rId81">
            <anchor moveWithCells="1" sizeWithCells="1">
              <from>
                <xdr:col>2</xdr:col>
                <xdr:colOff>238125</xdr:colOff>
                <xdr:row>5</xdr:row>
                <xdr:rowOff>38100</xdr:rowOff>
              </from>
              <to>
                <xdr:col>2</xdr:col>
                <xdr:colOff>371475</xdr:colOff>
                <xdr:row>5</xdr:row>
                <xdr:rowOff>180975</xdr:rowOff>
              </to>
            </anchor>
          </controlPr>
        </control>
      </mc:Choice>
      <mc:Fallback>
        <control shapeId="2050" r:id="rId80" name="Open_Se"/>
      </mc:Fallback>
    </mc:AlternateContent>
    <mc:AlternateContent xmlns:mc="http://schemas.openxmlformats.org/markup-compatibility/2006">
      <mc:Choice Requires="x14">
        <control shapeId="2139" r:id="rId82" name="ArchiveSched">
          <controlPr defaultSize="0" autoLine="0" r:id="rId83">
            <anchor moveWithCells="1">
              <from>
                <xdr:col>9</xdr:col>
                <xdr:colOff>152400</xdr:colOff>
                <xdr:row>1</xdr:row>
                <xdr:rowOff>114300</xdr:rowOff>
              </from>
              <to>
                <xdr:col>11</xdr:col>
                <xdr:colOff>457200</xdr:colOff>
                <xdr:row>4</xdr:row>
                <xdr:rowOff>133350</xdr:rowOff>
              </to>
            </anchor>
          </controlPr>
        </control>
      </mc:Choice>
      <mc:Fallback>
        <control shapeId="2139" r:id="rId82" name="ArchiveSched"/>
      </mc:Fallback>
    </mc:AlternateContent>
    <mc:AlternateContent xmlns:mc="http://schemas.openxmlformats.org/markup-compatibility/2006">
      <mc:Choice Requires="x14">
        <control shapeId="2141" r:id="rId84" name="SetNewSchedule">
          <controlPr defaultSize="0" autoLine="0" r:id="rId85">
            <anchor moveWithCells="1">
              <from>
                <xdr:col>9</xdr:col>
                <xdr:colOff>152400</xdr:colOff>
                <xdr:row>5</xdr:row>
                <xdr:rowOff>57150</xdr:rowOff>
              </from>
              <to>
                <xdr:col>11</xdr:col>
                <xdr:colOff>457200</xdr:colOff>
                <xdr:row>8</xdr:row>
                <xdr:rowOff>85725</xdr:rowOff>
              </to>
            </anchor>
          </controlPr>
        </control>
      </mc:Choice>
      <mc:Fallback>
        <control shapeId="2141" r:id="rId84" name="SetNewSchedule"/>
      </mc:Fallback>
    </mc:AlternateContent>
    <mc:AlternateContent xmlns:mc="http://schemas.openxmlformats.org/markup-compatibility/2006">
      <mc:Choice Requires="x14">
        <control shapeId="2116" r:id="rId86" name="Check Box 68">
          <controlPr defaultSize="0" autoFill="0" autoLine="0" autoPict="0">
            <anchor moveWithCells="1">
              <from>
                <xdr:col>3</xdr:col>
                <xdr:colOff>190500</xdr:colOff>
                <xdr:row>4</xdr:row>
                <xdr:rowOff>190500</xdr:rowOff>
              </from>
              <to>
                <xdr:col>3</xdr:col>
                <xdr:colOff>371475</xdr:colOff>
                <xdr:row>5</xdr:row>
                <xdr:rowOff>180975</xdr:rowOff>
              </to>
            </anchor>
          </controlPr>
        </control>
      </mc:Choice>
    </mc:AlternateContent>
    <mc:AlternateContent xmlns:mc="http://schemas.openxmlformats.org/markup-compatibility/2006">
      <mc:Choice Requires="x14">
        <control shapeId="2117" r:id="rId87" name="Check Box 69">
          <controlPr defaultSize="0" autoFill="0" autoLine="0" autoPict="0">
            <anchor moveWithCells="1">
              <from>
                <xdr:col>3</xdr:col>
                <xdr:colOff>190500</xdr:colOff>
                <xdr:row>6</xdr:row>
                <xdr:rowOff>0</xdr:rowOff>
              </from>
              <to>
                <xdr:col>3</xdr:col>
                <xdr:colOff>371475</xdr:colOff>
                <xdr:row>6</xdr:row>
                <xdr:rowOff>180975</xdr:rowOff>
              </to>
            </anchor>
          </controlPr>
        </control>
      </mc:Choice>
    </mc:AlternateContent>
    <mc:AlternateContent xmlns:mc="http://schemas.openxmlformats.org/markup-compatibility/2006">
      <mc:Choice Requires="x14">
        <control shapeId="2118" r:id="rId88" name="Check Box 70">
          <controlPr defaultSize="0" autoFill="0" autoLine="0" autoPict="0">
            <anchor moveWithCells="1">
              <from>
                <xdr:col>3</xdr:col>
                <xdr:colOff>190500</xdr:colOff>
                <xdr:row>7</xdr:row>
                <xdr:rowOff>0</xdr:rowOff>
              </from>
              <to>
                <xdr:col>3</xdr:col>
                <xdr:colOff>371475</xdr:colOff>
                <xdr:row>7</xdr:row>
                <xdr:rowOff>180975</xdr:rowOff>
              </to>
            </anchor>
          </controlPr>
        </control>
      </mc:Choice>
    </mc:AlternateContent>
    <mc:AlternateContent xmlns:mc="http://schemas.openxmlformats.org/markup-compatibility/2006">
      <mc:Choice Requires="x14">
        <control shapeId="2119" r:id="rId89" name="Check Box 71">
          <controlPr defaultSize="0" autoFill="0" autoLine="0" autoPict="0">
            <anchor moveWithCells="1">
              <from>
                <xdr:col>3</xdr:col>
                <xdr:colOff>190500</xdr:colOff>
                <xdr:row>8</xdr:row>
                <xdr:rowOff>9525</xdr:rowOff>
              </from>
              <to>
                <xdr:col>3</xdr:col>
                <xdr:colOff>371475</xdr:colOff>
                <xdr:row>8</xdr:row>
                <xdr:rowOff>190500</xdr:rowOff>
              </to>
            </anchor>
          </controlPr>
        </control>
      </mc:Choice>
    </mc:AlternateContent>
    <mc:AlternateContent xmlns:mc="http://schemas.openxmlformats.org/markup-compatibility/2006">
      <mc:Choice Requires="x14">
        <control shapeId="2120" r:id="rId90" name="Check Box 72">
          <controlPr defaultSize="0" autoFill="0" autoLine="0" autoPict="0">
            <anchor moveWithCells="1">
              <from>
                <xdr:col>3</xdr:col>
                <xdr:colOff>190500</xdr:colOff>
                <xdr:row>11</xdr:row>
                <xdr:rowOff>0</xdr:rowOff>
              </from>
              <to>
                <xdr:col>3</xdr:col>
                <xdr:colOff>371475</xdr:colOff>
                <xdr:row>11</xdr:row>
                <xdr:rowOff>180975</xdr:rowOff>
              </to>
            </anchor>
          </controlPr>
        </control>
      </mc:Choice>
    </mc:AlternateContent>
    <mc:AlternateContent xmlns:mc="http://schemas.openxmlformats.org/markup-compatibility/2006">
      <mc:Choice Requires="x14">
        <control shapeId="2121" r:id="rId91" name="Check Box 73">
          <controlPr defaultSize="0" autoFill="0" autoLine="0" autoPict="0">
            <anchor moveWithCells="1">
              <from>
                <xdr:col>3</xdr:col>
                <xdr:colOff>190500</xdr:colOff>
                <xdr:row>12</xdr:row>
                <xdr:rowOff>0</xdr:rowOff>
              </from>
              <to>
                <xdr:col>3</xdr:col>
                <xdr:colOff>371475</xdr:colOff>
                <xdr:row>12</xdr:row>
                <xdr:rowOff>180975</xdr:rowOff>
              </to>
            </anchor>
          </controlPr>
        </control>
      </mc:Choice>
    </mc:AlternateContent>
    <mc:AlternateContent xmlns:mc="http://schemas.openxmlformats.org/markup-compatibility/2006">
      <mc:Choice Requires="x14">
        <control shapeId="2122" r:id="rId92" name="Check Box 74">
          <controlPr defaultSize="0" autoFill="0" autoLine="0" autoPict="0">
            <anchor moveWithCells="1">
              <from>
                <xdr:col>3</xdr:col>
                <xdr:colOff>190500</xdr:colOff>
                <xdr:row>13</xdr:row>
                <xdr:rowOff>9525</xdr:rowOff>
              </from>
              <to>
                <xdr:col>3</xdr:col>
                <xdr:colOff>371475</xdr:colOff>
                <xdr:row>13</xdr:row>
                <xdr:rowOff>190500</xdr:rowOff>
              </to>
            </anchor>
          </controlPr>
        </control>
      </mc:Choice>
    </mc:AlternateContent>
    <mc:AlternateContent xmlns:mc="http://schemas.openxmlformats.org/markup-compatibility/2006">
      <mc:Choice Requires="x14">
        <control shapeId="2123" r:id="rId93" name="Check Box 75">
          <controlPr defaultSize="0" autoFill="0" autoLine="0" autoPict="0">
            <anchor moveWithCells="1">
              <from>
                <xdr:col>3</xdr:col>
                <xdr:colOff>190500</xdr:colOff>
                <xdr:row>14</xdr:row>
                <xdr:rowOff>19050</xdr:rowOff>
              </from>
              <to>
                <xdr:col>3</xdr:col>
                <xdr:colOff>371475</xdr:colOff>
                <xdr:row>15</xdr:row>
                <xdr:rowOff>0</xdr:rowOff>
              </to>
            </anchor>
          </controlPr>
        </control>
      </mc:Choice>
    </mc:AlternateContent>
    <mc:AlternateContent xmlns:mc="http://schemas.openxmlformats.org/markup-compatibility/2006">
      <mc:Choice Requires="x14">
        <control shapeId="2124" r:id="rId94" name="Check Box 76">
          <controlPr defaultSize="0" autoFill="0" autoLine="0" autoPict="0">
            <anchor moveWithCells="1">
              <from>
                <xdr:col>3</xdr:col>
                <xdr:colOff>190500</xdr:colOff>
                <xdr:row>17</xdr:row>
                <xdr:rowOff>0</xdr:rowOff>
              </from>
              <to>
                <xdr:col>3</xdr:col>
                <xdr:colOff>371475</xdr:colOff>
                <xdr:row>17</xdr:row>
                <xdr:rowOff>180975</xdr:rowOff>
              </to>
            </anchor>
          </controlPr>
        </control>
      </mc:Choice>
    </mc:AlternateContent>
    <mc:AlternateContent xmlns:mc="http://schemas.openxmlformats.org/markup-compatibility/2006">
      <mc:Choice Requires="x14">
        <control shapeId="2125" r:id="rId95" name="Check Box 77">
          <controlPr defaultSize="0" autoFill="0" autoLine="0" autoPict="0">
            <anchor moveWithCells="1">
              <from>
                <xdr:col>3</xdr:col>
                <xdr:colOff>190500</xdr:colOff>
                <xdr:row>18</xdr:row>
                <xdr:rowOff>0</xdr:rowOff>
              </from>
              <to>
                <xdr:col>3</xdr:col>
                <xdr:colOff>371475</xdr:colOff>
                <xdr:row>18</xdr:row>
                <xdr:rowOff>180975</xdr:rowOff>
              </to>
            </anchor>
          </controlPr>
        </control>
      </mc:Choice>
    </mc:AlternateContent>
    <mc:AlternateContent xmlns:mc="http://schemas.openxmlformats.org/markup-compatibility/2006">
      <mc:Choice Requires="x14">
        <control shapeId="2126" r:id="rId96" name="Check Box 78">
          <controlPr defaultSize="0" autoFill="0" autoLine="0" autoPict="0">
            <anchor moveWithCells="1">
              <from>
                <xdr:col>3</xdr:col>
                <xdr:colOff>190500</xdr:colOff>
                <xdr:row>19</xdr:row>
                <xdr:rowOff>0</xdr:rowOff>
              </from>
              <to>
                <xdr:col>3</xdr:col>
                <xdr:colOff>371475</xdr:colOff>
                <xdr:row>19</xdr:row>
                <xdr:rowOff>180975</xdr:rowOff>
              </to>
            </anchor>
          </controlPr>
        </control>
      </mc:Choice>
    </mc:AlternateContent>
    <mc:AlternateContent xmlns:mc="http://schemas.openxmlformats.org/markup-compatibility/2006">
      <mc:Choice Requires="x14">
        <control shapeId="2127" r:id="rId97" name="Check Box 79">
          <controlPr defaultSize="0" autoFill="0" autoLine="0" autoPict="0">
            <anchor moveWithCells="1">
              <from>
                <xdr:col>3</xdr:col>
                <xdr:colOff>190500</xdr:colOff>
                <xdr:row>20</xdr:row>
                <xdr:rowOff>9525</xdr:rowOff>
              </from>
              <to>
                <xdr:col>3</xdr:col>
                <xdr:colOff>371475</xdr:colOff>
                <xdr:row>21</xdr:row>
                <xdr:rowOff>0</xdr:rowOff>
              </to>
            </anchor>
          </controlPr>
        </control>
      </mc:Choice>
    </mc:AlternateContent>
    <mc:AlternateContent xmlns:mc="http://schemas.openxmlformats.org/markup-compatibility/2006">
      <mc:Choice Requires="x14">
        <control shapeId="2128" r:id="rId98" name="Check Box 80">
          <controlPr defaultSize="0" autoFill="0" autoLine="0" autoPict="0">
            <anchor moveWithCells="1">
              <from>
                <xdr:col>3</xdr:col>
                <xdr:colOff>190500</xdr:colOff>
                <xdr:row>23</xdr:row>
                <xdr:rowOff>0</xdr:rowOff>
              </from>
              <to>
                <xdr:col>3</xdr:col>
                <xdr:colOff>371475</xdr:colOff>
                <xdr:row>23</xdr:row>
                <xdr:rowOff>180975</xdr:rowOff>
              </to>
            </anchor>
          </controlPr>
        </control>
      </mc:Choice>
    </mc:AlternateContent>
    <mc:AlternateContent xmlns:mc="http://schemas.openxmlformats.org/markup-compatibility/2006">
      <mc:Choice Requires="x14">
        <control shapeId="2129" r:id="rId99" name="Check Box 81">
          <controlPr defaultSize="0" autoFill="0" autoLine="0" autoPict="0">
            <anchor moveWithCells="1">
              <from>
                <xdr:col>3</xdr:col>
                <xdr:colOff>190500</xdr:colOff>
                <xdr:row>24</xdr:row>
                <xdr:rowOff>0</xdr:rowOff>
              </from>
              <to>
                <xdr:col>3</xdr:col>
                <xdr:colOff>371475</xdr:colOff>
                <xdr:row>24</xdr:row>
                <xdr:rowOff>180975</xdr:rowOff>
              </to>
            </anchor>
          </controlPr>
        </control>
      </mc:Choice>
    </mc:AlternateContent>
    <mc:AlternateContent xmlns:mc="http://schemas.openxmlformats.org/markup-compatibility/2006">
      <mc:Choice Requires="x14">
        <control shapeId="2130" r:id="rId100" name="Check Box 82">
          <controlPr defaultSize="0" autoFill="0" autoLine="0" autoPict="0">
            <anchor moveWithCells="1">
              <from>
                <xdr:col>3</xdr:col>
                <xdr:colOff>190500</xdr:colOff>
                <xdr:row>25</xdr:row>
                <xdr:rowOff>0</xdr:rowOff>
              </from>
              <to>
                <xdr:col>3</xdr:col>
                <xdr:colOff>371475</xdr:colOff>
                <xdr:row>25</xdr:row>
                <xdr:rowOff>180975</xdr:rowOff>
              </to>
            </anchor>
          </controlPr>
        </control>
      </mc:Choice>
    </mc:AlternateContent>
    <mc:AlternateContent xmlns:mc="http://schemas.openxmlformats.org/markup-compatibility/2006">
      <mc:Choice Requires="x14">
        <control shapeId="2131" r:id="rId101" name="Check Box 83">
          <controlPr defaultSize="0" autoFill="0" autoLine="0" autoPict="0">
            <anchor moveWithCells="1">
              <from>
                <xdr:col>3</xdr:col>
                <xdr:colOff>190500</xdr:colOff>
                <xdr:row>26</xdr:row>
                <xdr:rowOff>9525</xdr:rowOff>
              </from>
              <to>
                <xdr:col>3</xdr:col>
                <xdr:colOff>371475</xdr:colOff>
                <xdr:row>27</xdr:row>
                <xdr:rowOff>0</xdr:rowOff>
              </to>
            </anchor>
          </controlPr>
        </control>
      </mc:Choice>
    </mc:AlternateContent>
    <mc:AlternateContent xmlns:mc="http://schemas.openxmlformats.org/markup-compatibility/2006">
      <mc:Choice Requires="x14">
        <control shapeId="2132" r:id="rId102" name="Check Box 84">
          <controlPr defaultSize="0" autoFill="0" autoLine="0" autoPict="0">
            <anchor moveWithCells="1">
              <from>
                <xdr:col>3</xdr:col>
                <xdr:colOff>190500</xdr:colOff>
                <xdr:row>29</xdr:row>
                <xdr:rowOff>0</xdr:rowOff>
              </from>
              <to>
                <xdr:col>3</xdr:col>
                <xdr:colOff>371475</xdr:colOff>
                <xdr:row>29</xdr:row>
                <xdr:rowOff>180975</xdr:rowOff>
              </to>
            </anchor>
          </controlPr>
        </control>
      </mc:Choice>
    </mc:AlternateContent>
    <mc:AlternateContent xmlns:mc="http://schemas.openxmlformats.org/markup-compatibility/2006">
      <mc:Choice Requires="x14">
        <control shapeId="2133" r:id="rId103" name="Check Box 85">
          <controlPr defaultSize="0" autoFill="0" autoLine="0" autoPict="0">
            <anchor moveWithCells="1">
              <from>
                <xdr:col>3</xdr:col>
                <xdr:colOff>190500</xdr:colOff>
                <xdr:row>30</xdr:row>
                <xdr:rowOff>0</xdr:rowOff>
              </from>
              <to>
                <xdr:col>3</xdr:col>
                <xdr:colOff>371475</xdr:colOff>
                <xdr:row>30</xdr:row>
                <xdr:rowOff>180975</xdr:rowOff>
              </to>
            </anchor>
          </controlPr>
        </control>
      </mc:Choice>
    </mc:AlternateContent>
    <mc:AlternateContent xmlns:mc="http://schemas.openxmlformats.org/markup-compatibility/2006">
      <mc:Choice Requires="x14">
        <control shapeId="2134" r:id="rId104" name="Check Box 86">
          <controlPr defaultSize="0" autoFill="0" autoLine="0" autoPict="0">
            <anchor moveWithCells="1">
              <from>
                <xdr:col>3</xdr:col>
                <xdr:colOff>190500</xdr:colOff>
                <xdr:row>31</xdr:row>
                <xdr:rowOff>0</xdr:rowOff>
              </from>
              <to>
                <xdr:col>3</xdr:col>
                <xdr:colOff>371475</xdr:colOff>
                <xdr:row>31</xdr:row>
                <xdr:rowOff>180975</xdr:rowOff>
              </to>
            </anchor>
          </controlPr>
        </control>
      </mc:Choice>
    </mc:AlternateContent>
    <mc:AlternateContent xmlns:mc="http://schemas.openxmlformats.org/markup-compatibility/2006">
      <mc:Choice Requires="x14">
        <control shapeId="2136" r:id="rId105" name="Check Box 88">
          <controlPr defaultSize="0" autoFill="0" autoLine="0" autoPict="0">
            <anchor moveWithCells="1">
              <from>
                <xdr:col>5</xdr:col>
                <xdr:colOff>123825</xdr:colOff>
                <xdr:row>16</xdr:row>
                <xdr:rowOff>0</xdr:rowOff>
              </from>
              <to>
                <xdr:col>7</xdr:col>
                <xdr:colOff>771525</xdr:colOff>
                <xdr:row>18</xdr:row>
                <xdr:rowOff>190500</xdr:rowOff>
              </to>
            </anchor>
          </controlPr>
        </control>
      </mc:Choice>
    </mc:AlternateContent>
    <mc:AlternateContent xmlns:mc="http://schemas.openxmlformats.org/markup-compatibility/2006">
      <mc:Choice Requires="x14">
        <control shapeId="2145" r:id="rId106" name="Check Box 97">
          <controlPr defaultSize="0" autoFill="0" autoLine="0" autoPict="0">
            <anchor moveWithCells="1">
              <from>
                <xdr:col>6</xdr:col>
                <xdr:colOff>28575</xdr:colOff>
                <xdr:row>11</xdr:row>
                <xdr:rowOff>133350</xdr:rowOff>
              </from>
              <to>
                <xdr:col>7</xdr:col>
                <xdr:colOff>800100</xdr:colOff>
                <xdr:row>14</xdr:row>
                <xdr:rowOff>123825</xdr:rowOff>
              </to>
            </anchor>
          </controlPr>
        </control>
      </mc:Choice>
    </mc:AlternateContent>
    <mc:AlternateContent xmlns:mc="http://schemas.openxmlformats.org/markup-compatibility/2006">
      <mc:Choice Requires="x14">
        <control shapeId="2146" r:id="rId107" name="Check Box 98">
          <controlPr defaultSize="0" autoFill="0" autoLine="0" autoPict="0">
            <anchor moveWithCells="1">
              <from>
                <xdr:col>5</xdr:col>
                <xdr:colOff>123825</xdr:colOff>
                <xdr:row>19</xdr:row>
                <xdr:rowOff>0</xdr:rowOff>
              </from>
              <to>
                <xdr:col>7</xdr:col>
                <xdr:colOff>771525</xdr:colOff>
                <xdr:row>21</xdr:row>
                <xdr:rowOff>190500</xdr:rowOff>
              </to>
            </anchor>
          </controlPr>
        </control>
      </mc:Choice>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FDC5346-E6CD-4DBE-93C0-A1819CDD5FF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Current Schedule</vt:lpstr>
      <vt:lpstr>Master Schedule</vt:lpstr>
      <vt:lpstr>Controls</vt:lpstr>
    </vt:vector>
  </TitlesOfParts>
  <Company>LDS Church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telefundsup</dc:creator>
  <cp:lastModifiedBy>telefundsup</cp:lastModifiedBy>
  <cp:lastPrinted>2019-04-17T20:12:53Z</cp:lastPrinted>
  <dcterms:created xsi:type="dcterms:W3CDTF">2019-01-30T21:54:22Z</dcterms:created>
  <dcterms:modified xsi:type="dcterms:W3CDTF">2019-04-17T20:14:47Z</dcterms:modified>
</cp:coreProperties>
</file>